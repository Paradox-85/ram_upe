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66925"/>
  <mc:AlternateContent xmlns:mc="http://schemas.openxmlformats.org/markup-compatibility/2006">
    <mc:Choice Requires="x15">
      <x15ac:absPath xmlns:x15ac="http://schemas.microsoft.com/office/spreadsheetml/2010/11/ac" url="C:\Work\Development\projects\ramboll\ram_upe\sources\transport\"/>
    </mc:Choice>
  </mc:AlternateContent>
  <xr:revisionPtr revIDLastSave="0" documentId="13_ncr:1_{3A19299A-45DD-4CA4-A7EB-BF50867A34B3}" xr6:coauthVersionLast="47" xr6:coauthVersionMax="47" xr10:uidLastSave="{00000000-0000-0000-0000-000000000000}"/>
  <bookViews>
    <workbookView xWindow="-108" yWindow="-108" windowWidth="30936" windowHeight="16896" firstSheet="1" activeTab="2" xr2:uid="{00000000-000D-0000-FFFF-FFFF00000000}"/>
  </bookViews>
  <sheets>
    <sheet name="Read Me" sheetId="1" state="hidden" r:id="rId1"/>
    <sheet name="WS2_ProblemClusters" sheetId="16" r:id="rId2"/>
    <sheet name="Q3_Top problems" sheetId="2" r:id="rId3"/>
    <sheet name="Existing Practices" sheetId="3" r:id="rId4"/>
    <sheet name="Initiatives" sheetId="7" r:id="rId5"/>
    <sheet name="VIEW_WS1_Related work" sheetId="18" r:id="rId6"/>
    <sheet name="Transport-UPE Summary" sheetId="20" r:id="rId7"/>
    <sheet name="Candidate Problems" sheetId="4" state="hidden" r:id="rId8"/>
    <sheet name="Problem Mappings" sheetId="5" state="hidden" r:id="rId9"/>
    <sheet name="Practice Mappings" sheetId="6" state="hidden" r:id="rId10"/>
    <sheet name="Initiative Mappings" sheetId="8" state="hidden" r:id="rId11"/>
    <sheet name="Clusters" sheetId="9" state="hidden" r:id="rId12"/>
    <sheet name="Cluster Assignments" sheetId="10" state="hidden" r:id="rId13"/>
    <sheet name="Exceptions" sheetId="11" state="hidden" r:id="rId14"/>
    <sheet name="Review Log" sheetId="12" state="hidden" r:id="rId15"/>
    <sheet name="Controlled Values" sheetId="13" state="hidden" r:id="rId16"/>
    <sheet name="TMP_PracticeProblemProposals" sheetId="14" state="hidden" r:id="rId17"/>
    <sheet name="TMP_ProblemSpaceAnalysis" sheetId="15" state="hidden" r:id="rId18"/>
    <sheet name="WS2_Clusters_COPY" sheetId="17" state="hidden" r:id="rId19"/>
  </sheets>
  <definedNames>
    <definedName name="CV_AIConfidence">'Controlled Values'!$A$5:$A$7</definedName>
    <definedName name="CV_CandidateAssessment">'Controlled Values'!$F$5:$F$7</definedName>
    <definedName name="CV_ClusterAssignmentType">'Controlled Values'!$P$5:$P$8</definedName>
    <definedName name="CV_ClusterStatus">'Controlled Values'!$I$5:$I$7</definedName>
    <definedName name="CV_EntityType">'Controlled Values'!$M$5:$M$14</definedName>
    <definedName name="CV_EvidenceRecordType">'Controlled Values'!$O$5:$O$6</definedName>
    <definedName name="CV_ExceptionSeverity">'Controlled Values'!$J$5:$J$8</definedName>
    <definedName name="CV_InitiativeMappingRelationship">'Controlled Values'!$E$5:$E$10</definedName>
    <definedName name="CV_InitiativeStatus">'Controlled Values'!$H$5:$H$11</definedName>
    <definedName name="CV_PracticeMappingRelationship">'Controlled Values'!$D$5:$D$9</definedName>
    <definedName name="CV_ProblemMappingRelationship">'Controlled Values'!$C$5:$C$10</definedName>
    <definedName name="CV_RecordOrigin">'Controlled Values'!$L$5:$L$6</definedName>
    <definedName name="CV_ResolutionStatus">'Controlled Values'!$K$5:$K$8</definedName>
    <definedName name="CV_ReviewDecision">'Controlled Values'!$N$5:$N$8</definedName>
    <definedName name="CV_ReviewStatus">'Controlled Values'!$B$5:$B$9</definedName>
    <definedName name="CV_YesNo">'Controlled Values'!$G$5:$G$6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8" i="20" l="1"/>
  <c r="A27" i="20"/>
  <c r="A26" i="20"/>
  <c r="A25" i="20"/>
  <c r="A24" i="20"/>
  <c r="A23" i="20"/>
  <c r="A22" i="20"/>
  <c r="A21" i="20"/>
  <c r="A20" i="20"/>
  <c r="A19" i="20"/>
  <c r="A18" i="20"/>
  <c r="A17" i="20"/>
  <c r="A16" i="20"/>
  <c r="A15" i="20"/>
  <c r="A14" i="20"/>
  <c r="A13" i="20"/>
  <c r="A12" i="20"/>
  <c r="A11" i="20"/>
  <c r="A10" i="20"/>
  <c r="A9" i="20"/>
  <c r="A8" i="20"/>
  <c r="A7" i="20"/>
  <c r="A6" i="20"/>
  <c r="A5" i="20"/>
  <c r="A4" i="20"/>
  <c r="A3" i="20"/>
  <c r="A2" i="20"/>
  <c r="J33" i="2"/>
  <c r="A6" i="18"/>
  <c r="B6" i="18"/>
  <c r="C6" i="18"/>
  <c r="D6" i="18"/>
  <c r="A7" i="18"/>
  <c r="B7" i="18"/>
  <c r="C7" i="18"/>
  <c r="D7" i="18"/>
  <c r="A8" i="18"/>
  <c r="B8" i="18"/>
  <c r="C8" i="18"/>
  <c r="D8" i="18"/>
  <c r="A9" i="18"/>
  <c r="B9" i="18"/>
  <c r="C9" i="18"/>
  <c r="D9" i="18"/>
  <c r="A10" i="18"/>
  <c r="B10" i="18"/>
  <c r="C10" i="18"/>
  <c r="D10" i="18"/>
  <c r="A11" i="18"/>
  <c r="B11" i="18"/>
  <c r="C11" i="18"/>
  <c r="D11" i="18"/>
  <c r="A12" i="18"/>
  <c r="B12" i="18"/>
  <c r="C12" i="18"/>
  <c r="D12" i="18"/>
  <c r="A13" i="18"/>
  <c r="B13" i="18"/>
  <c r="C13" i="18"/>
  <c r="D13" i="18"/>
  <c r="A14" i="18"/>
  <c r="B14" i="18"/>
  <c r="C14" i="18"/>
  <c r="D14" i="18"/>
  <c r="A15" i="18"/>
  <c r="B15" i="18"/>
  <c r="C15" i="18"/>
  <c r="D15" i="18"/>
  <c r="A16" i="18"/>
  <c r="B16" i="18"/>
  <c r="C16" i="18"/>
  <c r="D16" i="18"/>
  <c r="A17" i="18"/>
  <c r="B17" i="18"/>
  <c r="C17" i="18"/>
  <c r="D17" i="18"/>
  <c r="A18" i="18"/>
  <c r="B18" i="18"/>
  <c r="C18" i="18"/>
  <c r="D18" i="18"/>
  <c r="A19" i="18"/>
  <c r="B19" i="18"/>
  <c r="C19" i="18"/>
  <c r="D19" i="18"/>
  <c r="A20" i="18"/>
  <c r="B20" i="18"/>
  <c r="C20" i="18"/>
  <c r="D20" i="18"/>
  <c r="A21" i="18"/>
  <c r="B21" i="18"/>
  <c r="C21" i="18"/>
  <c r="D21" i="18"/>
  <c r="A22" i="18"/>
  <c r="B22" i="18"/>
  <c r="C22" i="18"/>
  <c r="D22" i="18"/>
  <c r="A23" i="18"/>
  <c r="B23" i="18"/>
  <c r="C23" i="18"/>
  <c r="D23" i="18"/>
  <c r="A24" i="18"/>
  <c r="B24" i="18"/>
  <c r="C24" i="18"/>
  <c r="D24" i="18"/>
  <c r="A25" i="18"/>
  <c r="B25" i="18"/>
  <c r="C25" i="18"/>
  <c r="D25" i="18"/>
  <c r="A26" i="18"/>
  <c r="B26" i="18"/>
  <c r="C26" i="18"/>
  <c r="D26" i="18"/>
  <c r="A27" i="18"/>
  <c r="B27" i="18"/>
  <c r="C27" i="18"/>
  <c r="D27" i="18"/>
  <c r="A28" i="18"/>
  <c r="B28" i="18"/>
  <c r="C28" i="18"/>
  <c r="D28" i="18"/>
  <c r="A29" i="18"/>
  <c r="B29" i="18"/>
  <c r="C29" i="18"/>
  <c r="D29" i="18"/>
  <c r="A30" i="18"/>
  <c r="B30" i="18"/>
  <c r="C30" i="18"/>
  <c r="D30" i="18"/>
  <c r="A31" i="18"/>
  <c r="B31" i="18"/>
  <c r="C31" i="18"/>
  <c r="D31" i="18"/>
  <c r="A32" i="18"/>
  <c r="B32" i="18"/>
  <c r="C32" i="18"/>
  <c r="D32" i="18"/>
  <c r="A33" i="18"/>
  <c r="B33" i="18"/>
  <c r="C33" i="18"/>
  <c r="D33" i="18"/>
  <c r="A34" i="18"/>
  <c r="B34" i="18"/>
  <c r="C34" i="18"/>
  <c r="D34" i="18"/>
  <c r="A35" i="18"/>
  <c r="B35" i="18"/>
  <c r="C35" i="18"/>
  <c r="D35" i="18"/>
  <c r="A36" i="18"/>
  <c r="B36" i="18"/>
  <c r="C36" i="18"/>
  <c r="D36" i="18"/>
  <c r="A37" i="18"/>
  <c r="B37" i="18"/>
  <c r="C37" i="18"/>
  <c r="D37" i="18"/>
  <c r="A38" i="18"/>
  <c r="B38" i="18"/>
  <c r="C38" i="18"/>
  <c r="D38" i="18"/>
  <c r="A39" i="18"/>
  <c r="B39" i="18"/>
  <c r="C39" i="18"/>
  <c r="D39" i="18"/>
  <c r="A40" i="18"/>
  <c r="B40" i="18"/>
  <c r="C40" i="18"/>
  <c r="D40" i="18"/>
  <c r="A41" i="18"/>
  <c r="B41" i="18"/>
  <c r="C41" i="18"/>
  <c r="D41" i="18"/>
  <c r="A42" i="18"/>
  <c r="B42" i="18"/>
  <c r="C42" i="18"/>
  <c r="D42" i="18"/>
  <c r="A43" i="18"/>
  <c r="B43" i="18"/>
  <c r="C43" i="18"/>
  <c r="D43" i="18"/>
  <c r="A44" i="18"/>
  <c r="B44" i="18"/>
  <c r="C44" i="18"/>
  <c r="D44" i="18"/>
  <c r="A45" i="18"/>
  <c r="B45" i="18"/>
  <c r="C45" i="18"/>
  <c r="D45" i="18"/>
  <c r="A46" i="18"/>
  <c r="B46" i="18"/>
  <c r="C46" i="18"/>
  <c r="D46" i="18"/>
  <c r="A47" i="18"/>
  <c r="B47" i="18"/>
  <c r="C47" i="18"/>
  <c r="D47" i="18"/>
  <c r="A48" i="18"/>
  <c r="B48" i="18"/>
  <c r="C48" i="18"/>
  <c r="D48" i="18"/>
  <c r="A49" i="18"/>
  <c r="B49" i="18"/>
  <c r="C49" i="18"/>
  <c r="D49" i="18"/>
  <c r="A50" i="18"/>
  <c r="B50" i="18"/>
  <c r="C50" i="18"/>
  <c r="D50" i="18"/>
  <c r="A51" i="18"/>
  <c r="B51" i="18"/>
  <c r="C51" i="18"/>
  <c r="D51" i="18"/>
  <c r="A52" i="18"/>
  <c r="B52" i="18"/>
  <c r="C52" i="18"/>
  <c r="D52" i="18"/>
  <c r="A53" i="18"/>
  <c r="B53" i="18"/>
  <c r="C53" i="18"/>
  <c r="D53" i="18"/>
  <c r="A54" i="18"/>
  <c r="B54" i="18"/>
  <c r="C54" i="18"/>
  <c r="D54" i="18"/>
  <c r="A55" i="18"/>
  <c r="B55" i="18"/>
  <c r="C55" i="18"/>
  <c r="D55" i="18"/>
  <c r="A56" i="18"/>
  <c r="B56" i="18"/>
  <c r="C56" i="18"/>
  <c r="D56" i="18"/>
  <c r="A57" i="18"/>
  <c r="B57" i="18"/>
  <c r="C57" i="18"/>
  <c r="D57" i="18"/>
  <c r="A58" i="18"/>
  <c r="B58" i="18"/>
  <c r="C58" i="18"/>
  <c r="D58" i="18"/>
  <c r="A59" i="18"/>
  <c r="B59" i="18"/>
  <c r="C59" i="18"/>
  <c r="D59" i="18"/>
  <c r="A60" i="18"/>
  <c r="B60" i="18"/>
  <c r="C60" i="18"/>
  <c r="D60" i="18"/>
  <c r="A61" i="18"/>
  <c r="B61" i="18"/>
  <c r="C61" i="18"/>
  <c r="D61" i="18"/>
  <c r="A62" i="18"/>
  <c r="B62" i="18"/>
  <c r="C62" i="18"/>
  <c r="D62" i="18"/>
  <c r="D5" i="18"/>
  <c r="C5" i="18"/>
  <c r="B5" i="18"/>
  <c r="A5" i="18"/>
  <c r="J20" i="2"/>
  <c r="J24" i="2"/>
  <c r="J16" i="2"/>
  <c r="J30" i="2"/>
  <c r="J22" i="2"/>
  <c r="J23" i="2"/>
  <c r="J12" i="2"/>
  <c r="J32" i="2"/>
  <c r="J28" i="2"/>
  <c r="J8" i="2"/>
  <c r="J9" i="2"/>
  <c r="J11" i="2"/>
  <c r="J18" i="2"/>
  <c r="J19" i="2"/>
  <c r="J21" i="2"/>
  <c r="J6" i="2"/>
  <c r="J14" i="2"/>
  <c r="J17" i="2"/>
  <c r="J15" i="2"/>
  <c r="J31" i="2"/>
  <c r="J25" i="2"/>
  <c r="J26" i="2"/>
  <c r="J29" i="2"/>
  <c r="J10" i="2"/>
</calcChain>
</file>

<file path=xl/sharedStrings.xml><?xml version="1.0" encoding="utf-8"?>
<sst xmlns="http://schemas.openxmlformats.org/spreadsheetml/2006/main" count="5720" uniqueCount="2144">
  <si>
    <t>Controlled Consolidation Working Workbook</t>
  </si>
  <si>
    <t>Step 0 structure for controlled consolidation; source workbooks are not modified.</t>
  </si>
  <si>
    <t>WORKFLOW AND REVIEW GATES</t>
  </si>
  <si>
    <t>1. Import</t>
  </si>
  <si>
    <t>Copy every source column unchanged into Problems and Practices; add controlled metadata to the right.</t>
  </si>
  <si>
    <t>2. Assess</t>
  </si>
  <si>
    <t>Generate candidate problems only in a later approved step, with evidence and confidence rationale.</t>
  </si>
  <si>
    <t>3. Map</t>
  </si>
  <si>
    <t>Review candidate-to-problem, practice-to-problem, and initiative-to-problem relationships.</t>
  </si>
  <si>
    <t>4. Cluster</t>
  </si>
  <si>
    <t>Define clusters separately from overlapping, many-to-many evidence-record assignments.</t>
  </si>
  <si>
    <t>5. Review</t>
  </si>
  <si>
    <t>A reviewer explicitly records governing decisions in Review Log; records are not automatically approved.</t>
  </si>
  <si>
    <t>Imported confidence</t>
  </si>
  <si>
    <t>Imported Problems and Practices have blank AIConfidence and ConfidenceReason.</t>
  </si>
  <si>
    <t>ReviewDecisionID</t>
  </si>
  <si>
    <t>When retained in an entity table, this identifies the current governing review decision.</t>
  </si>
  <si>
    <t>CONTROL PRINCIPLES</t>
  </si>
  <si>
    <t>Entity IDs</t>
  </si>
  <si>
    <t>Imported problems use WS1-P###; practices use ESP-S###; ESP-P### remains the existing derived-problem reference. New IDs are created only for approved new problems and controlled records.</t>
  </si>
  <si>
    <t>Review gate</t>
  </si>
  <si>
    <t>Not reviewed and In review records are working records. Approval requires an explicit review decision.</t>
  </si>
  <si>
    <t>Decision log</t>
  </si>
  <si>
    <t>ReviewLog is explicitly maintained and is not an automatic audit trail; changes, versions, and timestamps are not captured automatically.</t>
  </si>
  <si>
    <t>ClusterStatus</t>
  </si>
  <si>
    <t>Describes whether a cluster definition is Draft, Active, or Retired.</t>
  </si>
  <si>
    <t>ReviewStatus</t>
  </si>
  <si>
    <t>Describes the review stage of a record: Not reviewed, In review, Needs clarification, Approved, or Rejected.</t>
  </si>
  <si>
    <t>Evidence discipline</t>
  </si>
  <si>
    <t>Owner, sponsoring unit, initiative status, and evidence date remain blank when not explicitly supported by a source.</t>
  </si>
  <si>
    <t>EVIDENCE RECORDS AND OVERLAPPING CLUSTER ASSIGNMENTS</t>
  </si>
  <si>
    <t>Evidenced problem space</t>
  </si>
  <si>
    <t>The evidenced problem space consists of Workshop problems and ESP-derived problem records.</t>
  </si>
  <si>
    <t>EPS = Existing Practices and Standards</t>
  </si>
  <si>
    <t>Direct assignment</t>
  </si>
  <si>
    <t>Both record types may be assigned directly to clusters.</t>
  </si>
  <si>
    <t>Multiple assignments</t>
  </si>
  <si>
    <t>A problem may be assigned to several clusters.</t>
  </si>
  <si>
    <t>Analytical lenses</t>
  </si>
  <si>
    <t>Clusters are overlapping analytical lenses, not mutually exclusive containers.</t>
  </si>
  <si>
    <t>Primary assignment</t>
  </si>
  <si>
    <t>A problem should normally have no more than one Primary assignment.</t>
  </si>
  <si>
    <t>Permitted types</t>
  </si>
  <si>
    <t>Secondary, Boundary and Cross-cutting assignments are permitted.</t>
  </si>
  <si>
    <t>Unique problems</t>
  </si>
  <si>
    <t>Multiple cluster assignments for one evidence record do not represent additional unique problems.</t>
  </si>
  <si>
    <t>Cluster counts</t>
  </si>
  <si>
    <t>Cluster-level problem counts must distinguish unique evidence records from assignment rows.</t>
  </si>
  <si>
    <t>CONTENTS</t>
  </si>
  <si>
    <t>Problems</t>
  </si>
  <si>
    <t>Imported Workshop 1 problems retain Source problem ID (WS1-P###). Approved new problems may be added later with new controlled IDs.</t>
  </si>
  <si>
    <t>Practices</t>
  </si>
  <si>
    <t>Imported practices retain Practice ID (ESP-S###) and preserve Derived problem ID (ESP-P###) as the existing ESP reference.</t>
  </si>
  <si>
    <t>Candidate Problems</t>
  </si>
  <si>
    <t>One row per proposed problem derived from evidence. Step 0 contains headings only.</t>
  </si>
  <si>
    <t>Problem Mappings</t>
  </si>
  <si>
    <t>Relates a candidate problem to an imported or approved problem using the controlled relationship list.</t>
  </si>
  <si>
    <t>Practice Mappings</t>
  </si>
  <si>
    <t>Relates an existing practice to a problem using the controlled relationship list.</t>
  </si>
  <si>
    <t>Initiatives</t>
  </si>
  <si>
    <t>One row per initiative. Evidence-based owner, unit, status, and date remain blank unless explicitly supported by a source.</t>
  </si>
  <si>
    <t>Initiative Mappings</t>
  </si>
  <si>
    <t>Links one initiative to one problem. No mappings are created in Step 0.</t>
  </si>
  <si>
    <t>Clusters</t>
  </si>
  <si>
    <t>One row per cluster definition. ClusterStatus describes lifecycle; ReviewStatus describes review progress.</t>
  </si>
  <si>
    <t>Cluster Assignments</t>
  </si>
  <si>
    <t>One row per EvidenceRecordID–ClusterID assignment. Workshop problems and ESP-derived problem records may be assigned directly to several overlapping clusters; no assignments have been created.</t>
  </si>
  <si>
    <t>Exceptions</t>
  </si>
  <si>
    <t>Records controlled data-quality issues, conflicts, omissions, and approved deviations.</t>
  </si>
  <si>
    <t>Review Log</t>
  </si>
  <si>
    <t>Explicitly maintained decision log. It is not an automatic audit trail.</t>
  </si>
  <si>
    <t>Controlled Values</t>
  </si>
  <si>
    <t>Controlled validation lists used by the workbook.</t>
  </si>
  <si>
    <t>CLUSTERING OF WORKSHOP 1 PROBLEMS</t>
  </si>
  <si>
    <t>Cluster ID</t>
  </si>
  <si>
    <t>Cluster Name</t>
  </si>
  <si>
    <t>Classification</t>
  </si>
  <si>
    <t>Cluster Description</t>
  </si>
  <si>
    <t>Sum of cross-unit problem relevance+vote for the Primary Problem Assignments, WS1-08-26</t>
  </si>
  <si>
    <t>Avg cross-unit relevance per primary problem (Col H, max 21), WS1 08-26</t>
  </si>
  <si>
    <t>Number of existing local practices relevant to primary problem assignments</t>
  </si>
  <si>
    <t>Sum of cross-unit relevance for the relevant local practices, WS-06-262</t>
  </si>
  <si>
    <t>Primary Problem Assignments</t>
  </si>
  <si>
    <t>Secondary Problem Assignments</t>
  </si>
  <si>
    <t>Cross-cutting Problem Assignments</t>
  </si>
  <si>
    <t>Relevant ongoing initiatives 08-26</t>
  </si>
  <si>
    <t>Relevant existing local Standards and Practices Q2-26</t>
  </si>
  <si>
    <t>Why this is a useful or unsuitable focus area for initiative ideation</t>
  </si>
  <si>
    <t>Inclusion Rule</t>
  </si>
  <si>
    <t>Boundary Rule</t>
  </si>
  <si>
    <t>Potential overlap or boundary issues requiring human review</t>
  </si>
  <si>
    <t>C02</t>
  </si>
  <si>
    <t>Consistent and reusable project production environments</t>
  </si>
  <si>
    <t>Investable opportunity space</t>
  </si>
  <si>
    <t>Problems caused by inconsistent project setups, standards, platforms, configurations, or local working methods that make projects slow to start, difficult to transfer, and hard to reuse across countries or projects.</t>
  </si>
  <si>
    <t>WS1-P011 Difficult cross-country project handover;
WS1-P012 Local standards hinder work sharing;
WS1-P014 Confusion from multiple project platforms;
WS1-P016 Misaligned setups across software vendors;
WS1-P017 Fragmented project setup and infrastructure;
WS1-P018 Project standards not fully implemented</t>
  </si>
  <si>
    <t>WS1-P006 Inconsistent data setup across tools;
WS1-P015 Inefficient file exchange between vendors;
WS1-P019 Coordination challenges in multidisciplinary projects</t>
  </si>
  <si>
    <t>WS1-P027 Consistency accross departments in terms of digital plan and focus, lack of HoD KPI's supporting improvements in the digital space</t>
  </si>
  <si>
    <r>
      <rPr>
        <b/>
        <sz val="10"/>
        <color rgb="FF000000"/>
        <rFont val="Calibri"/>
        <scheme val="minor"/>
      </rPr>
      <t>PI-RTR-001 RTR Software Standardisation Exercise:</t>
    </r>
    <r>
      <rPr>
        <sz val="10"/>
        <color rgb="FF000000"/>
        <rFont val="Calibri"/>
        <scheme val="minor"/>
      </rPr>
      <t xml:space="preserve"> Transport-wide exercise to map engineering software by service line/spearhead, identify overlaps, improve interoperability and establish an evidence-based basis for possible standardisation and rationalisation.
</t>
    </r>
    <r>
      <rPr>
        <b/>
        <sz val="10"/>
        <color rgb="FF000000"/>
        <rFont val="Calibri"/>
        <scheme val="minor"/>
      </rPr>
      <t xml:space="preserve">
PI-RTR-002 Unified Production Environment:</t>
    </r>
    <r>
      <rPr>
        <sz val="10"/>
        <color rgb="FF000000"/>
        <rFont val="Calibri"/>
        <scheme val="minor"/>
      </rPr>
      <t xml:space="preserve"> Global initiative to align supported production platforms, interoperability, data governance, production knowledge and streamlined project environments, with AI and data-centric delivery as target outcomes.
</t>
    </r>
    <r>
      <rPr>
        <b/>
        <sz val="10"/>
        <color rgb="FF000000"/>
        <rFont val="Calibri"/>
        <scheme val="minor"/>
      </rPr>
      <t xml:space="preserve">
PI-RTR-003 Transforming Document Management:</t>
    </r>
    <r>
      <rPr>
        <sz val="10"/>
        <color rgb="FF000000"/>
        <rFont val="Calibri"/>
        <scheme val="minor"/>
      </rPr>
      <t xml:space="preserve"> Global project to redesign document-management processes, implement a fit-for-purpose DMS and drive behavioural change and adoption across Ramboll projects.
</t>
    </r>
    <r>
      <rPr>
        <b/>
        <sz val="10"/>
        <color rgb="FF000000"/>
        <rFont val="Calibri"/>
        <scheme val="minor"/>
      </rPr>
      <t xml:space="preserve">
PI-RTR-006 Software processes &amp; portal:</t>
    </r>
    <r>
      <rPr>
        <sz val="10"/>
        <color rgb="FF000000"/>
        <rFont val="Calibri"/>
        <scheme val="minor"/>
      </rPr>
      <t xml:space="preserve"> Ramboll Tech workstream improving software-portfolio governance, employee software journeys, request workflows and production-software support flows.
</t>
    </r>
    <r>
      <rPr>
        <b/>
        <sz val="10"/>
        <color rgb="FF000000"/>
        <rFont val="Calibri"/>
        <scheme val="minor"/>
      </rPr>
      <t xml:space="preserve">
PI-RTR-007 Building our Project Management and Delivery department within Major Projects:</t>
    </r>
    <r>
      <rPr>
        <sz val="10"/>
        <color rgb="FF000000"/>
        <rFont val="Calibri"/>
        <scheme val="minor"/>
      </rPr>
      <t xml:space="preserve"> Transport Major Projects initiative to build geographically distributed PMD capability supporting more reliable and harmonised delivery of large infrastructure projects.</t>
    </r>
  </si>
  <si>
    <r>
      <t>ESP-S001</t>
    </r>
    <r>
      <rPr>
        <sz val="10"/>
        <color theme="1"/>
        <rFont val="Calibri"/>
        <charset val="1"/>
      </rPr>
      <t xml:space="preserve"> ProjectWise manager governance model (Denmark); </t>
    </r>
    <r>
      <rPr>
        <b/>
        <sz val="10"/>
        <color theme="1"/>
        <rFont val="Calibri"/>
        <charset val="1"/>
      </rPr>
      <t>ESP-S002</t>
    </r>
    <r>
      <rPr>
        <sz val="10"/>
        <color theme="1"/>
        <rFont val="Calibri"/>
        <charset val="1"/>
      </rPr>
      <t xml:space="preserve"> ProjectWise manager guide and standards portal (Denmark); </t>
    </r>
    <r>
      <rPr>
        <b/>
        <sz val="10"/>
        <color theme="1"/>
        <rFont val="Calibri"/>
        <charset val="1"/>
      </rPr>
      <t>ESP-S003</t>
    </r>
    <r>
      <rPr>
        <sz val="10"/>
        <color theme="1"/>
        <rFont val="Calibri"/>
        <charset val="1"/>
      </rPr>
      <t xml:space="preserve"> ProjectWise for production - RAMDK (Denmark); </t>
    </r>
    <r>
      <rPr>
        <b/>
        <sz val="10"/>
        <color theme="1"/>
        <rFont val="Calibri"/>
        <charset val="1"/>
      </rPr>
      <t>ESP-S004</t>
    </r>
    <r>
      <rPr>
        <sz val="10"/>
        <color theme="1"/>
        <rFont val="Calibri"/>
        <charset val="1"/>
      </rPr>
      <t xml:space="preserve"> Managed workspace in ProjectWise (Denmark); </t>
    </r>
    <r>
      <rPr>
        <b/>
        <sz val="10"/>
        <color theme="1"/>
        <rFont val="Calibri"/>
        <charset val="1"/>
      </rPr>
      <t>ESP-S005</t>
    </r>
    <r>
      <rPr>
        <sz val="10"/>
        <color theme="1"/>
        <rFont val="Calibri"/>
        <charset val="1"/>
      </rPr>
      <t xml:space="preserve"> CAD project manual and transport standards portal (Denmark); </t>
    </r>
    <r>
      <rPr>
        <b/>
        <sz val="10"/>
        <color theme="1"/>
        <rFont val="Calibri"/>
        <charset val="1"/>
      </rPr>
      <t>ESP-S007</t>
    </r>
    <r>
      <rPr>
        <sz val="10"/>
        <color theme="1"/>
        <rFont val="Calibri"/>
        <charset val="1"/>
      </rPr>
      <t xml:space="preserve"> Client-led data management and modelling instruction model (Finland); </t>
    </r>
    <r>
      <rPr>
        <b/>
        <sz val="10"/>
        <color theme="1"/>
        <rFont val="Calibri"/>
        <charset val="1"/>
      </rPr>
      <t>ESP-S008</t>
    </r>
    <r>
      <rPr>
        <sz val="10"/>
        <color theme="1"/>
        <rFont val="Calibri"/>
        <charset val="1"/>
      </rPr>
      <t xml:space="preserve"> Quadri / Trimble Connect project environment (Finland); </t>
    </r>
    <r>
      <rPr>
        <b/>
        <sz val="10"/>
        <color theme="1"/>
        <rFont val="Calibri"/>
        <charset val="1"/>
      </rPr>
      <t>ESP-S009</t>
    </r>
    <r>
      <rPr>
        <sz val="10"/>
        <color theme="1"/>
        <rFont val="Calibri"/>
        <charset val="1"/>
      </rPr>
      <t xml:space="preserve"> Finnish configuration packages for design tools (Finland); </t>
    </r>
    <r>
      <rPr>
        <b/>
        <sz val="10"/>
        <color theme="1"/>
        <rFont val="Calibri"/>
        <charset val="1"/>
      </rPr>
      <t>ESP-S010</t>
    </r>
    <r>
      <rPr>
        <sz val="10"/>
        <color theme="1"/>
        <rFont val="Calibri"/>
        <charset val="1"/>
      </rPr>
      <t xml:space="preserve"> Forma pilot with discipline templates (Finland); </t>
    </r>
    <r>
      <rPr>
        <b/>
        <sz val="10"/>
        <color theme="1"/>
        <rFont val="Calibri"/>
        <charset val="1"/>
      </rPr>
      <t>ESP-S011</t>
    </r>
    <r>
      <rPr>
        <sz val="10"/>
        <color theme="1"/>
        <rFont val="Calibri"/>
        <charset val="1"/>
      </rPr>
      <t xml:space="preserve"> Transport software standards portal and Teams communication channels (Finland); </t>
    </r>
    <r>
      <rPr>
        <b/>
        <sz val="10"/>
        <color theme="1"/>
        <rFont val="Calibri"/>
        <charset val="1"/>
      </rPr>
      <t>ESP-S012</t>
    </r>
    <r>
      <rPr>
        <sz val="10"/>
        <color theme="1"/>
        <rFont val="Calibri"/>
        <charset val="1"/>
      </rPr>
      <t xml:space="preserve"> Super-user network and office roadshow support model (Finland); </t>
    </r>
    <r>
      <rPr>
        <b/>
        <sz val="10"/>
        <color theme="1"/>
        <rFont val="Calibri"/>
        <charset val="1"/>
      </rPr>
      <t>ESP-S013</t>
    </r>
    <r>
      <rPr>
        <sz val="10"/>
        <color theme="1"/>
        <rFont val="Calibri"/>
        <charset val="1"/>
      </rPr>
      <t xml:space="preserve"> Integrated multi-platform project environment (Norway); </t>
    </r>
    <r>
      <rPr>
        <b/>
        <sz val="10"/>
        <color theme="1"/>
        <rFont val="Calibri"/>
        <charset val="1"/>
      </rPr>
      <t>ESP-S017</t>
    </r>
    <r>
      <rPr>
        <sz val="10"/>
        <color theme="1"/>
        <rFont val="Calibri"/>
        <charset val="1"/>
      </rPr>
      <t xml:space="preserve"> Project SharePoint/Teams information hub (Norway); </t>
    </r>
    <r>
      <rPr>
        <b/>
        <sz val="10"/>
        <color theme="1"/>
        <rFont val="Calibri"/>
        <charset val="1"/>
      </rPr>
      <t>ESP-S019</t>
    </r>
    <r>
      <rPr>
        <sz val="10"/>
        <color theme="1"/>
        <rFont val="Calibri"/>
        <charset val="1"/>
      </rPr>
      <t xml:space="preserve"> CAD Configuration / Configuration Switch (Sweden); </t>
    </r>
    <r>
      <rPr>
        <b/>
        <sz val="10"/>
        <color theme="1"/>
        <rFont val="Calibri"/>
        <charset val="1"/>
      </rPr>
      <t>ESP-S020</t>
    </r>
    <r>
      <rPr>
        <sz val="10"/>
        <color theme="1"/>
        <rFont val="Calibri"/>
        <charset val="1"/>
      </rPr>
      <t xml:space="preserve"> Metadata and Naming + Managed Workspaces (Sweden); </t>
    </r>
    <r>
      <rPr>
        <b/>
        <sz val="10"/>
        <color theme="1"/>
        <rFont val="Calibri"/>
        <charset val="1"/>
      </rPr>
      <t>ESP-S022</t>
    </r>
    <r>
      <rPr>
        <sz val="10"/>
        <color theme="1"/>
        <rFont val="Calibri"/>
        <charset val="1"/>
      </rPr>
      <t xml:space="preserve"> Opt-in model via project support SharePoint page (Sweden); </t>
    </r>
    <r>
      <rPr>
        <b/>
        <sz val="10"/>
        <color theme="1"/>
        <rFont val="Calibri"/>
        <charset val="1"/>
      </rPr>
      <t>ESP-S023</t>
    </r>
    <r>
      <rPr>
        <sz val="10"/>
        <color theme="1"/>
        <rFont val="Calibri"/>
        <charset val="1"/>
      </rPr>
      <t xml:space="preserve"> Project Hub (SharePoint coordination layer) (Sweden); </t>
    </r>
    <r>
      <rPr>
        <b/>
        <sz val="10"/>
        <color theme="1"/>
        <rFont val="Calibri"/>
        <charset val="1"/>
      </rPr>
      <t>ESP-S024</t>
    </r>
    <r>
      <rPr>
        <sz val="10"/>
        <color theme="1"/>
        <rFont val="Calibri"/>
        <charset val="1"/>
      </rPr>
      <t xml:space="preserve"> Early-phase digital delivery manager involvement (UK&amp;I); </t>
    </r>
    <r>
      <rPr>
        <b/>
        <sz val="10"/>
        <color theme="1"/>
        <rFont val="Calibri"/>
        <charset val="1"/>
      </rPr>
      <t>ESP-S025</t>
    </r>
    <r>
      <rPr>
        <sz val="10"/>
        <color theme="1"/>
        <rFont val="Calibri"/>
        <charset val="1"/>
      </rPr>
      <t xml:space="preserve"> Digital fit assessment (UK&amp;I); </t>
    </r>
    <r>
      <rPr>
        <b/>
        <sz val="10"/>
        <color theme="1"/>
        <rFont val="Calibri"/>
        <charset val="1"/>
      </rPr>
      <t>ESP-S026</t>
    </r>
    <r>
      <rPr>
        <sz val="10"/>
        <color theme="1"/>
        <rFont val="Calibri"/>
        <charset val="1"/>
      </rPr>
      <t xml:space="preserve"> ISO 19650-aligned ProjectWise deployment model (UK&amp;I); </t>
    </r>
    <r>
      <rPr>
        <b/>
        <sz val="10"/>
        <color theme="1"/>
        <rFont val="Calibri"/>
        <charset val="1"/>
      </rPr>
      <t>ESP-S027</t>
    </r>
    <r>
      <rPr>
        <sz val="10"/>
        <color theme="1"/>
        <rFont val="Calibri"/>
        <charset val="1"/>
      </rPr>
      <t xml:space="preserve"> ProjectWise build sheet and staged mobilisation checks (UK&amp;I)</t>
    </r>
  </si>
  <si>
    <t>Strong ideation area. The problems form a coherent conversation about making project delivery more recognisable, repeatable, transferable, and reusable while allowing justified local or project variation. It is broad enough for multiple initiative families but still tied to a clear production outcome.</t>
  </si>
  <si>
    <t>Include where the main problem is variation in project infrastructure, setup, standards, platform use, or implementation of standard ways of working.</t>
  </si>
  <si>
    <t>Exclude data naming and semantic consistency where the primary outcome is reusable data rather than repeatable project setup. Exclude general access to guidance unless the principal failure is the setup itself.</t>
  </si>
  <si>
    <t>This is the broadest proposed cluster. To break down further can be considered whether project-platform coherence and standards implementation should remain together. C02 must not become a generic "all standards and software" category. WS1-P014 may overlap strongly with C04 because platform confusion can also be an interoperability problem.</t>
  </si>
  <si>
    <t>C06</t>
  </si>
  <si>
    <t>Production knowledge, competence and adoption</t>
  </si>
  <si>
    <t>Cross-cutting enabler / success factor</t>
  </si>
  <si>
    <t>Problems where people cannot find, understand, adopt, or consistently apply the knowledge, skills, guidance, and proven working methods needed for effective digital production.</t>
  </si>
  <si>
    <t>WS1-P013 Scattered guidance and support information;
WS1-P020 Limited cross-country innovation sharing;
WS1-P023 Underuse of modern modelling features;
WS1-P024 Uneven digital-requirements competence;
WS1-P026 Delivery teams including REC lack correct skills to deliver digital outputs (models, drawings and data principally) right first time</t>
  </si>
  <si>
    <t>WS1-P001 Inconsistent use of AI and automation;
WS1-P003 Uncoordinated citizen-developed AI tools;
WS1-P011 Difficult cross-country project handover;
WS1-P012 Local standards hinder work sharing;
WS1-P018 Project standards not fully implemented;
WS1-P021 No path from prototype to managed product;
WS1-P022 Automation difficult to understand and reuse</t>
  </si>
  <si>
    <r>
      <t>PI-RTR-001 RTR Software Standardisation Exercise:</t>
    </r>
    <r>
      <rPr>
        <sz val="10"/>
        <color theme="1"/>
        <rFont val="Calibri"/>
        <scheme val="minor"/>
      </rPr>
      <t xml:space="preserve"> Transport-wide exercise to map engineering software by service line/spearhead, identify overlaps, improve interoperability and establish an evidence-based basis for possible standardisation and rationalisation.</t>
    </r>
    <r>
      <rPr>
        <b/>
        <sz val="10"/>
        <color theme="1"/>
        <rFont val="Calibri"/>
        <scheme val="minor"/>
      </rPr>
      <t xml:space="preserve">
PI-RTR-002 Unified Production Environment:</t>
    </r>
    <r>
      <rPr>
        <sz val="10"/>
        <color theme="1"/>
        <rFont val="Calibri"/>
        <scheme val="minor"/>
      </rPr>
      <t xml:space="preserve"> Global initiative to align supported production platforms, interoperability, data governance, production knowledge and streamlined project environments, with AI and data-centric delivery as target outcomes.</t>
    </r>
    <r>
      <rPr>
        <b/>
        <sz val="10"/>
        <color theme="1"/>
        <rFont val="Calibri"/>
        <scheme val="minor"/>
      </rPr>
      <t xml:space="preserve">
PI-RTR-003 Transforming Document Management:</t>
    </r>
    <r>
      <rPr>
        <sz val="10"/>
        <color theme="1"/>
        <rFont val="Calibri"/>
        <scheme val="minor"/>
      </rPr>
      <t xml:space="preserve"> Global project to redesign document-management processes, implement a fit-for-purpose DMS and drive behavioural change and adoption across Ramboll projects.</t>
    </r>
    <r>
      <rPr>
        <b/>
        <sz val="10"/>
        <color theme="1"/>
        <rFont val="Calibri"/>
        <scheme val="minor"/>
      </rPr>
      <t xml:space="preserve">
PI-RTR-005 Script Sharing Platform rollout and scaling:</t>
    </r>
    <r>
      <rPr>
        <sz val="10"/>
        <color theme="1"/>
        <rFont val="Calibri"/>
        <scheme val="minor"/>
      </rPr>
      <t xml:space="preserve"> Scale a live, governed environment for sharing and reusing engineering automation assets including scripts, plugins and visual-programming solutions.</t>
    </r>
    <r>
      <rPr>
        <b/>
        <sz val="10"/>
        <color theme="1"/>
        <rFont val="Calibri"/>
        <scheme val="minor"/>
      </rPr>
      <t xml:space="preserve">
PI-RTR-006 Software processes &amp; portal:</t>
    </r>
    <r>
      <rPr>
        <sz val="10"/>
        <color theme="1"/>
        <rFont val="Calibri"/>
        <scheme val="minor"/>
      </rPr>
      <t xml:space="preserve"> Ramboll Tech workstream improving software-portfolio governance, employee software journeys, request workflows and production-software support flows.</t>
    </r>
    <r>
      <rPr>
        <b/>
        <sz val="10"/>
        <color theme="1"/>
        <rFont val="Calibri"/>
        <scheme val="minor"/>
      </rPr>
      <t xml:space="preserve">
PI-RTR-007 Building our Project Management and Delivery department within Major Projects:</t>
    </r>
    <r>
      <rPr>
        <sz val="10"/>
        <color theme="1"/>
        <rFont val="Calibri"/>
        <scheme val="minor"/>
      </rPr>
      <t xml:space="preserve"> Transport Major Projects initiative to build geographically distributed PMD capability supporting more reliable and harmonised delivery of large infrastructure projects.</t>
    </r>
  </si>
  <si>
    <r>
      <t>ESP-S002</t>
    </r>
    <r>
      <rPr>
        <sz val="10"/>
        <color theme="1"/>
        <rFont val="Calibri"/>
        <charset val="1"/>
      </rPr>
      <t xml:space="preserve"> ProjectWise manager guide and standards portal (Denmark); </t>
    </r>
    <r>
      <rPr>
        <b/>
        <sz val="10"/>
        <color theme="1"/>
        <rFont val="Calibri"/>
        <charset val="1"/>
      </rPr>
      <t>ESP-S005</t>
    </r>
    <r>
      <rPr>
        <sz val="10"/>
        <color theme="1"/>
        <rFont val="Calibri"/>
        <charset val="1"/>
      </rPr>
      <t xml:space="preserve"> CAD project manual and transport standards portal (Denmark); </t>
    </r>
    <r>
      <rPr>
        <b/>
        <sz val="10"/>
        <color theme="1"/>
        <rFont val="Calibri"/>
        <charset val="1"/>
      </rPr>
      <t>ESP-S006</t>
    </r>
    <r>
      <rPr>
        <sz val="10"/>
        <color theme="1"/>
        <rFont val="Calibri"/>
        <charset val="1"/>
      </rPr>
      <t xml:space="preserve"> Teams-based product information and support channel (Denmark); </t>
    </r>
    <r>
      <rPr>
        <b/>
        <sz val="10"/>
        <color theme="1"/>
        <rFont val="Calibri"/>
        <charset val="1"/>
      </rPr>
      <t>ESP-S007</t>
    </r>
    <r>
      <rPr>
        <sz val="10"/>
        <color theme="1"/>
        <rFont val="Calibri"/>
        <charset val="1"/>
      </rPr>
      <t xml:space="preserve"> Client-led data management and modelling instruction model (Finland); </t>
    </r>
    <r>
      <rPr>
        <b/>
        <sz val="10"/>
        <color theme="1"/>
        <rFont val="Calibri"/>
        <charset val="1"/>
      </rPr>
      <t>ESP-S011</t>
    </r>
    <r>
      <rPr>
        <sz val="10"/>
        <color theme="1"/>
        <rFont val="Calibri"/>
        <charset val="1"/>
      </rPr>
      <t xml:space="preserve"> Transport software standards portal and Teams communication channels (Finland); </t>
    </r>
    <r>
      <rPr>
        <b/>
        <sz val="10"/>
        <color theme="1"/>
        <rFont val="Calibri"/>
        <charset val="1"/>
      </rPr>
      <t>ESP-S012</t>
    </r>
    <r>
      <rPr>
        <sz val="10"/>
        <color theme="1"/>
        <rFont val="Calibri"/>
        <charset val="1"/>
      </rPr>
      <t xml:space="preserve"> Super-user network and office roadshow support model (Finland); </t>
    </r>
    <r>
      <rPr>
        <b/>
        <sz val="10"/>
        <color theme="1"/>
        <rFont val="Calibri"/>
        <charset val="1"/>
      </rPr>
      <t>ESP-S017</t>
    </r>
    <r>
      <rPr>
        <sz val="10"/>
        <color theme="1"/>
        <rFont val="Calibri"/>
        <charset val="1"/>
      </rPr>
      <t xml:space="preserve"> Project SharePoint/Teams information hub (Norway); </t>
    </r>
    <r>
      <rPr>
        <b/>
        <sz val="10"/>
        <color theme="1"/>
        <rFont val="Calibri"/>
        <charset val="1"/>
      </rPr>
      <t>ESP-S023</t>
    </r>
    <r>
      <rPr>
        <sz val="10"/>
        <color theme="1"/>
        <rFont val="Calibri"/>
        <charset val="1"/>
      </rPr>
      <t xml:space="preserve"> Project Hub (SharePoint coordination layer) (Sweden); </t>
    </r>
    <r>
      <rPr>
        <b/>
        <sz val="10"/>
        <color theme="1"/>
        <rFont val="Calibri"/>
        <charset val="1"/>
      </rPr>
      <t>ESP-S024</t>
    </r>
    <r>
      <rPr>
        <sz val="10"/>
        <color theme="1"/>
        <rFont val="Calibri"/>
        <charset val="1"/>
      </rPr>
      <t xml:space="preserve"> Early-phase digital delivery manager involvement (UK&amp;I); </t>
    </r>
    <r>
      <rPr>
        <b/>
        <sz val="10"/>
        <color theme="1"/>
        <rFont val="Calibri"/>
        <charset val="1"/>
      </rPr>
      <t>ESP-S025</t>
    </r>
    <r>
      <rPr>
        <sz val="10"/>
        <color theme="1"/>
        <rFont val="Calibri"/>
        <charset val="1"/>
      </rPr>
      <t xml:space="preserve"> Digital fit assessment (UK&amp;I)</t>
    </r>
  </si>
  <si>
    <t>A material supporting enabler and possibly an investable opportunity in its own right. The evidence supports more than generic training: it includes onboarding, access to current guidance, practical application of modern features, cross-country knowledge transfer, and capability to deliver correctly first time.</t>
  </si>
  <si>
    <t>Include where the main failure is competence, discoverability of guidance, onboarding, learning, adoption, or knowledge transfer.</t>
  </si>
  <si>
    <t>Exclude standards or project setups where the principal problem persists even when staff know what to do. Exclude tool-product lifecycle and technical integration problems.</t>
  </si>
  <si>
    <t>C06 could become too broad if every adoption or competence dependency is assigned here. Human review should preserve the distinction between a root competence problem and competence as one implementation condition for another opportunity. WS1-P020 could alternatively be Primary in C05.</t>
  </si>
  <si>
    <t>C01</t>
  </si>
  <si>
    <t>Reliable project mobilisation and digital delivery governance</t>
  </si>
  <si>
    <t>Problems where digital requirements, risks, commercial provisions, delivery arrangements, leadership alignment, or multidisciplinary coordination are not established early or consistently enough to support effective project delivery.</t>
  </si>
  <si>
    <t>WS1-P008 Digital risks identified too late;
WS1-P019 Coordination challenges in multidisciplinary projects;
WS1-P025 Current commercial model acts as blocker to digital resources and innovation;
WS1-P027 Consistency accross departments in terms of digital plan and focus, lack of HoD KPI's supporting improvements in the digital space</t>
  </si>
  <si>
    <t>WS1-P017 Fragmented project setup and infrastructure;
WS1-P024 Uneven digital-requirements competence</t>
  </si>
  <si>
    <t>None proposed</t>
  </si>
  <si>
    <r>
      <t>PI-RTR-002 Unified Production Environment:</t>
    </r>
    <r>
      <rPr>
        <sz val="10"/>
        <color theme="1"/>
        <rFont val="Calibri"/>
        <scheme val="minor"/>
      </rPr>
      <t xml:space="preserve"> Global initiative to align supported production platforms, interoperability, data governance, production knowledge and streamlined project environments, with AI and data-centric delivery as target outcomes.</t>
    </r>
    <r>
      <rPr>
        <b/>
        <sz val="10"/>
        <color theme="1"/>
        <rFont val="Calibri"/>
        <scheme val="minor"/>
      </rPr>
      <t xml:space="preserve">
PI-RTR-007 Building our Project Management and Delivery department within Major Projects:</t>
    </r>
    <r>
      <rPr>
        <sz val="10"/>
        <color theme="1"/>
        <rFont val="Calibri"/>
        <scheme val="minor"/>
      </rPr>
      <t xml:space="preserve"> Transport Major Projects initiative to build geographically distributed PMD capability supporting more reliable and harmonised delivery of large infrastructure projects.</t>
    </r>
  </si>
  <si>
    <r>
      <t>ESP-S005</t>
    </r>
    <r>
      <rPr>
        <sz val="11"/>
        <color theme="1"/>
        <rFont val="Calibri"/>
        <charset val="1"/>
      </rPr>
      <t xml:space="preserve"> CAD project manual and transport standards portal (Denmark); </t>
    </r>
    <r>
      <rPr>
        <b/>
        <sz val="11"/>
        <color theme="1"/>
        <rFont val="Calibri"/>
        <charset val="1"/>
      </rPr>
      <t>ESP-S013</t>
    </r>
    <r>
      <rPr>
        <sz val="11"/>
        <color theme="1"/>
        <rFont val="Calibri"/>
        <charset val="1"/>
      </rPr>
      <t xml:space="preserve"> Integrated multi-platform project environment (Norway); </t>
    </r>
    <r>
      <rPr>
        <b/>
        <sz val="11"/>
        <color theme="1"/>
        <rFont val="Calibri"/>
        <charset val="1"/>
      </rPr>
      <t>ESP-S014</t>
    </r>
    <r>
      <rPr>
        <sz val="11"/>
        <color theme="1"/>
        <rFont val="Calibri"/>
        <charset val="1"/>
      </rPr>
      <t xml:space="preserve"> BIMbot model exchange and automation layer (Norway); </t>
    </r>
    <r>
      <rPr>
        <b/>
        <sz val="11"/>
        <color theme="1"/>
        <rFont val="Calibri"/>
        <charset val="1"/>
      </rPr>
      <t>ESP-S017</t>
    </r>
    <r>
      <rPr>
        <sz val="11"/>
        <color theme="1"/>
        <rFont val="Calibri"/>
        <charset val="1"/>
      </rPr>
      <t xml:space="preserve"> Project SharePoint/Teams information hub (Norway); </t>
    </r>
    <r>
      <rPr>
        <b/>
        <sz val="11"/>
        <color theme="1"/>
        <rFont val="Calibri"/>
        <charset val="1"/>
      </rPr>
      <t>ESP-S023</t>
    </r>
    <r>
      <rPr>
        <sz val="11"/>
        <color theme="1"/>
        <rFont val="Calibri"/>
        <charset val="1"/>
      </rPr>
      <t xml:space="preserve"> Project Hub (SharePoint coordination layer) (Sweden); </t>
    </r>
    <r>
      <rPr>
        <b/>
        <sz val="11"/>
        <color theme="1"/>
        <rFont val="Calibri"/>
        <charset val="1"/>
      </rPr>
      <t>ESP-S024</t>
    </r>
    <r>
      <rPr>
        <sz val="11"/>
        <color theme="1"/>
        <rFont val="Calibri"/>
        <charset val="1"/>
      </rPr>
      <t xml:space="preserve"> Early-phase digital delivery manager involvement (UK&amp;I); </t>
    </r>
    <r>
      <rPr>
        <b/>
        <sz val="11"/>
        <color theme="1"/>
        <rFont val="Calibri"/>
        <charset val="1"/>
      </rPr>
      <t>ESP-S025</t>
    </r>
    <r>
      <rPr>
        <sz val="11"/>
        <color theme="1"/>
        <rFont val="Calibri"/>
        <charset val="1"/>
      </rPr>
      <t xml:space="preserve"> Digital fit assessment (UK&amp;I); </t>
    </r>
    <r>
      <rPr>
        <b/>
        <sz val="11"/>
        <color theme="1"/>
        <rFont val="Calibri"/>
        <charset val="1"/>
      </rPr>
      <t>ESP-S026</t>
    </r>
    <r>
      <rPr>
        <sz val="11"/>
        <color theme="1"/>
        <rFont val="Calibri"/>
        <charset val="1"/>
      </rPr>
      <t xml:space="preserve"> ISO 19650-aligned ProjectWise deployment model (UK&amp;I)</t>
    </r>
  </si>
  <si>
    <t>Strong ideation area because it connects early risk identification, coordinated delivery, viable resourcing, and internal alignment. It could support several types of initiative without prescribing the Digital Delivery Manager model or another specific response. Existing digital project roles would not make WS1-P008 non-investable because adoption, timing, coverage, capacity, and effectiveness could still be explored later.</t>
  </si>
  <si>
    <t>Include where the main production failure occurs during tendering, mobilisation, project planning, establishment of coordinated digital delivery, or internal alignment around digital production improvement.</t>
  </si>
  <si>
    <t>Exclude problems whose main issue is the technical configuration of tools and environments, data semantics, or the later exchange of information.</t>
  </si>
  <si>
    <t>WS1-P019 is sparsely evidenced and might instead sit in C02 if its underlying cause is primarily inconsistent environments and standards. WS1-P025 combines project funding for digital roles with recovery of investment in automation, so its boundary with C07 needs review. WS1-P027 is more consistent with C01 than C07, but it operates at departmental rather than individual-project level.</t>
  </si>
  <si>
    <t>C04</t>
  </si>
  <si>
    <t>Efficient information exchange and tool interoperability</t>
  </si>
  <si>
    <t>Problems where information, files, models, or automation cannot move reliably or efficiently between tools, vendors, teams, or project contexts.</t>
  </si>
  <si>
    <t>WS1-P015 Inefficient file exchange between vendors</t>
  </si>
  <si>
    <t>WS1-P006 Inconsistent data setup across tools;
WS1-P007 Inconsistent naming and data structures;
WS1-P010 Weak change tracking in data-centric workflows;
WS1-P014 Confusion from multiple project platforms;
WS1-P016 Misaligned setups across software vendors</t>
  </si>
  <si>
    <t>WS1-P022 Automation difficult to understand and reuse</t>
  </si>
  <si>
    <r>
      <rPr>
        <b/>
        <sz val="10"/>
        <color rgb="FF000000"/>
        <rFont val="Calibri"/>
        <scheme val="minor"/>
      </rPr>
      <t>PI-RTR-001 RTR Software Standardisation Exercise:</t>
    </r>
    <r>
      <rPr>
        <sz val="10"/>
        <color rgb="FF000000"/>
        <rFont val="Calibri"/>
        <scheme val="minor"/>
      </rPr>
      <t xml:space="preserve"> Transport-wide exercise to map engineering software by service line/spearhead, identify overlaps, improve interoperability and establish an evidence-based basis for possible standardisation and rationalisation.
</t>
    </r>
    <r>
      <rPr>
        <b/>
        <sz val="10"/>
        <color rgb="FF000000"/>
        <rFont val="Calibri"/>
        <scheme val="minor"/>
      </rPr>
      <t xml:space="preserve">
PI-RTR-002 Unified Production Environment:</t>
    </r>
    <r>
      <rPr>
        <sz val="10"/>
        <color rgb="FF000000"/>
        <rFont val="Calibri"/>
        <scheme val="minor"/>
      </rPr>
      <t xml:space="preserve"> Global initiative to align supported production platforms, interoperability, data governance, production knowledge and streamlined project environments, with AI and data-centric delivery as target outcomes.
</t>
    </r>
    <r>
      <rPr>
        <b/>
        <sz val="10"/>
        <color rgb="FF000000"/>
        <rFont val="Calibri"/>
        <scheme val="minor"/>
      </rPr>
      <t xml:space="preserve">
PI-RTR-003 Transforming Document Management:</t>
    </r>
    <r>
      <rPr>
        <sz val="10"/>
        <color rgb="FF000000"/>
        <rFont val="Calibri"/>
        <scheme val="minor"/>
      </rPr>
      <t xml:space="preserve"> Global project to redesign document-management processes, implement a fit-for-purpose DMS and drive behavioural change and adoption across Ramboll projects.</t>
    </r>
  </si>
  <si>
    <r>
      <t>ESP-S013</t>
    </r>
    <r>
      <rPr>
        <sz val="10"/>
        <color theme="1"/>
        <rFont val="Calibri"/>
        <charset val="1"/>
      </rPr>
      <t xml:space="preserve"> Integrated multi-platform project environment (Norway); </t>
    </r>
    <r>
      <rPr>
        <b/>
        <sz val="10"/>
        <color theme="1"/>
        <rFont val="Calibri"/>
        <charset val="1"/>
      </rPr>
      <t>ESP-S014</t>
    </r>
    <r>
      <rPr>
        <sz val="10"/>
        <color theme="1"/>
        <rFont val="Calibri"/>
        <charset val="1"/>
      </rPr>
      <t xml:space="preserve"> BIMbot model exchange and automation layer (Norway)</t>
    </r>
  </si>
  <si>
    <t>Potentially strong but currently narrow as a Primary cluster because only WS1-P015 has an unambiguous Primary fit. Its Secondary relationships show that interoperability is a meaningful ideation lens, but later evidence may support combining it with C03 or C02 rather than retaining it as a stand-alone focus area.</t>
  </si>
  <si>
    <t>Include where the central production loss is manual exchange, incompatible formats, inadequate exchange frequency, or inability to connect workflows across tools.</t>
  </si>
  <si>
    <t>Exclude inconsistent terminology or data definitions when exchange is technically possible but meaning is inconsistent. Exclude general platform proliferation where the main problem is unclear project setup rather than movement between systems.</t>
  </si>
  <si>
    <t>The principal review question is whether C04 is a distinct opportunity space or a delivery mechanism within C02 and C03. Retain it separately for now because file exchange and integration can generate a different initiative conversation from standardising setups or data definitions.</t>
  </si>
  <si>
    <t>C05</t>
  </si>
  <si>
    <t>Scalable automation and internally developed production tools (Citizen development)</t>
  </si>
  <si>
    <t>Problems preventing automation and internally developed tools from being created, quality-assured, shared, maintained, adapted, and scaled across projects or units.</t>
  </si>
  <si>
    <t>WS1-P001 Inconsistent use of AI and automation;
WS1-P002 Barriers to scaling internally developed tools;
WS1-P003 Uncoordinated citizen-developed AI tools;
WS1-P021 No path from prototype to managed product;
WS1-P022 Automation difficult to understand and reuse</t>
  </si>
  <si>
    <t>WS1-P020 Limited cross-country innovation sharing;
WS1-P023 Underuse of modern modelling features</t>
  </si>
  <si>
    <t>S</t>
  </si>
  <si>
    <r>
      <rPr>
        <b/>
        <sz val="10"/>
        <color rgb="FF000000"/>
        <rFont val="Calibri"/>
        <scheme val="minor"/>
      </rPr>
      <t>PI-RTR-004 Enabling Citizen Development:</t>
    </r>
    <r>
      <rPr>
        <sz val="10"/>
        <color rgb="FF000000"/>
        <rFont val="Calibri"/>
        <scheme val="minor"/>
      </rPr>
      <t xml:space="preserve"> Ramboll Tech DD&amp;P discovery and pilot initiative to determine business needs, tooling, enablement, governance and safe ways for colleagues to create lightweight automation and solutions.
</t>
    </r>
    <r>
      <rPr>
        <b/>
        <sz val="10"/>
        <color rgb="FF000000"/>
        <rFont val="Calibri"/>
        <scheme val="minor"/>
      </rPr>
      <t xml:space="preserve">
PI-RTR-005 Script Sharing Platform rollout and scaling:</t>
    </r>
    <r>
      <rPr>
        <sz val="10"/>
        <color rgb="FF000000"/>
        <rFont val="Calibri"/>
        <scheme val="minor"/>
      </rPr>
      <t xml:space="preserve"> Scale a live, governed environment for sharing and reusing engineering automation assets including scripts, plugins and visual-programming solutions.
</t>
    </r>
    <r>
      <rPr>
        <b/>
        <sz val="10"/>
        <color rgb="FF000000"/>
        <rFont val="Calibri"/>
        <scheme val="minor"/>
      </rPr>
      <t xml:space="preserve">
PI-RTR-006 Software processes &amp; portal:</t>
    </r>
    <r>
      <rPr>
        <sz val="10"/>
        <color rgb="FF000000"/>
        <rFont val="Calibri"/>
        <scheme val="minor"/>
      </rPr>
      <t xml:space="preserve"> Ramboll Tech workstream improving software-portfolio governance, employee software journeys, request workflows and production-software support flows.</t>
    </r>
  </si>
  <si>
    <r>
      <t>ESP-S030</t>
    </r>
    <r>
      <rPr>
        <sz val="10"/>
        <color theme="1"/>
        <rFont val="Calibri"/>
        <charset val="1"/>
      </rPr>
      <t xml:space="preserve"> SPOT Workflow (Major Projects); </t>
    </r>
    <r>
      <rPr>
        <b/>
        <sz val="10"/>
        <color theme="1"/>
        <rFont val="Calibri"/>
        <charset val="1"/>
      </rPr>
      <t>ESP-S031</t>
    </r>
    <r>
      <rPr>
        <sz val="10"/>
        <color theme="1"/>
        <rFont val="Calibri"/>
        <charset val="1"/>
      </rPr>
      <t xml:space="preserve"> CODA Data Dictionary (CDD) (Major Projects)</t>
    </r>
  </si>
  <si>
    <t>Strong ideation area. The Primary problems cover the progression from individual experimentation through quality control, publication, reuse, maintenance, and managed-product transition. This could generate materially different initiatives without limiting the discussion to AI or one product platform.</t>
  </si>
  <si>
    <t>Include where the main issue concerns the lifecycle, governance, reuse, quality, publication, integration, or scaling of automation and internally developed tools.</t>
  </si>
  <si>
    <t>Exclude broader user competence with vendor functionality. Exclude production-data foundations unless the record's primary issue is the data itself.</t>
  </si>
  <si>
    <t>There is a risk of combining two related but different spaces: citizen-development governance and managed-product lifecycle. They are retained together because the evidence describes a continuous scaling problem, but later practice and initiative mapping should test whether they support separate conversations.</t>
  </si>
  <si>
    <t>C07</t>
  </si>
  <si>
    <t>Client, regulatory and commercial conditions for digital production</t>
  </si>
  <si>
    <t>Hybrid, requiring review</t>
  </si>
  <si>
    <t>Problems where client restrictions, confidentiality, law, contractual arrangements, or commercial mechanisms constrain work sharing, AI use, resource deployment, or investment in digital production.</t>
  </si>
  <si>
    <t>WS1-P004 Confidentiality restricts work sharing with REC;
WS1-P005 Client restrictions on AI and cross-border resources</t>
  </si>
  <si>
    <t>WS1-P008 Digital risks identified too late;
WS1-P025 Current commercial model acts as blocker to digital resources and innovation</t>
  </si>
  <si>
    <t>N/A</t>
  </si>
  <si>
    <r>
      <t>ESP-S007</t>
    </r>
    <r>
      <rPr>
        <sz val="10"/>
        <color theme="1"/>
        <rFont val="Calibri"/>
        <charset val="1"/>
      </rPr>
      <t xml:space="preserve"> Client-led data management and modelling instruction model (Finland); </t>
    </r>
    <r>
      <rPr>
        <b/>
        <sz val="10"/>
        <color theme="1"/>
        <rFont val="Calibri"/>
        <charset val="1"/>
      </rPr>
      <t>ESP-S024</t>
    </r>
    <r>
      <rPr>
        <sz val="10"/>
        <color theme="1"/>
        <rFont val="Calibri"/>
        <charset val="1"/>
      </rPr>
      <t xml:space="preserve"> Early-phase digital delivery manager involvement (UK&amp;I); </t>
    </r>
    <r>
      <rPr>
        <b/>
        <sz val="10"/>
        <color theme="1"/>
        <rFont val="Calibri"/>
        <charset val="1"/>
      </rPr>
      <t>ESP-S025</t>
    </r>
    <r>
      <rPr>
        <sz val="10"/>
        <color theme="1"/>
        <rFont val="Calibri"/>
        <charset val="1"/>
      </rPr>
      <t xml:space="preserve"> Digital fit assessment (UK&amp;I); </t>
    </r>
    <r>
      <rPr>
        <b/>
        <sz val="10"/>
        <color theme="1"/>
        <rFont val="Calibri"/>
        <charset val="1"/>
      </rPr>
      <t>ESP-S026</t>
    </r>
    <r>
      <rPr>
        <sz val="10"/>
        <color theme="1"/>
        <rFont val="Calibri"/>
        <charset val="1"/>
      </rPr>
      <t xml:space="preserve"> ISO 19650-aligned ProjectWise deployment model (UK&amp;I)</t>
    </r>
  </si>
  <si>
    <t>Mixed suitability. WS1-P004 and WS1-P005 contain genuine constraint conditions, but they may still support ideation around earlier identification, compliant delivery patterns, adaptation, or mitigation. C07 should not automatically be excluded from investment merely because the primary limiting conditions are external.</t>
  </si>
  <si>
    <t>Include where an external, contractual, regulatory, confidentiality, or commercial condition is the main cause of the production limitation.</t>
  </si>
  <si>
    <t>Exclude internal implementation, competence, governance, or organisational-alignment failures that Ramboll can act on directly. Do not assume that an external restriction makes the whole problem non-investable.</t>
  </si>
  <si>
    <t>The cluster is now more internally coherent following the movement of WS1-P027 to C01. However, it remains narrow and primarily constraint-led. WS1-P025 belongs strongly in the commercial part of this cluster, but is Primary in C01 because its statement also concerns sufficient provision for digital delivery resources and investment in production improvement.</t>
  </si>
  <si>
    <t>C03</t>
  </si>
  <si>
    <t>Structured, trustworthy and reusable production data</t>
  </si>
  <si>
    <t>Problems where inconsistent data definitions, naming, structures, change control, or performance information prevent reliable reuse, automation, monitoring, or decision-making.</t>
  </si>
  <si>
    <t>WS1-P006 Inconsistent data setup across tools;
WS1-P007 Inconsistent naming and data structures;
WS1-P009 Insufficient live project performance data;
WS1-P010 Weak change tracking in data-centric workflows</t>
  </si>
  <si>
    <t>WS1-P015 Inefficient file exchange between vendors;
WS1-P016 Misaligned setups across software vendors</t>
  </si>
  <si>
    <t>WS1-P001 Inconsistent use of AI and automation;
WS1-P003 Uncoordinated citizen-developed AI tools</t>
  </si>
  <si>
    <r>
      <t>PI-RTR-001 RTR Software Standardisation Exercise:</t>
    </r>
    <r>
      <rPr>
        <sz val="10"/>
        <color theme="1"/>
        <rFont val="Calibri"/>
        <scheme val="minor"/>
      </rPr>
      <t xml:space="preserve"> Transport-wide exercise to map engineering software by service line/spearhead, identify overlaps, improve interoperability and establish an evidence-based basis for possible standardisation and rationalisation.</t>
    </r>
    <r>
      <rPr>
        <b/>
        <sz val="10"/>
        <color theme="1"/>
        <rFont val="Calibri"/>
        <scheme val="minor"/>
      </rPr>
      <t xml:space="preserve">
PI-RTR-002 Unified Production Environment:</t>
    </r>
    <r>
      <rPr>
        <sz val="10"/>
        <color theme="1"/>
        <rFont val="Calibri"/>
        <scheme val="minor"/>
      </rPr>
      <t xml:space="preserve"> Global initiative to align supported production platforms, interoperability, data governance, production knowledge and streamlined project environments, with AI and data-centric delivery as target outcomes.</t>
    </r>
    <r>
      <rPr>
        <b/>
        <sz val="10"/>
        <color theme="1"/>
        <rFont val="Calibri"/>
        <scheme val="minor"/>
      </rPr>
      <t xml:space="preserve">
PI-RTR-003 Transforming Document Management:</t>
    </r>
    <r>
      <rPr>
        <sz val="10"/>
        <color theme="1"/>
        <rFont val="Calibri"/>
        <scheme val="minor"/>
      </rPr>
      <t xml:space="preserve"> Global project to redesign document-management processes, implement a fit-for-purpose DMS and drive behavioural change and adoption across Ramboll projects.</t>
    </r>
  </si>
  <si>
    <r>
      <t>ESP-S005</t>
    </r>
    <r>
      <rPr>
        <sz val="10"/>
        <color theme="1"/>
        <rFont val="Calibri"/>
        <charset val="1"/>
      </rPr>
      <t xml:space="preserve"> CAD project manual and transport standards portal (Denmark); </t>
    </r>
    <r>
      <rPr>
        <b/>
        <sz val="10"/>
        <color theme="1"/>
        <rFont val="Calibri"/>
        <charset val="1"/>
      </rPr>
      <t>ESP-S007</t>
    </r>
    <r>
      <rPr>
        <sz val="10"/>
        <color theme="1"/>
        <rFont val="Calibri"/>
        <charset val="1"/>
      </rPr>
      <t xml:space="preserve"> Client-led data management and modelling instruction model (Finland); </t>
    </r>
    <r>
      <rPr>
        <b/>
        <sz val="10"/>
        <color theme="1"/>
        <rFont val="Calibri"/>
        <charset val="1"/>
      </rPr>
      <t>ESP-S014</t>
    </r>
    <r>
      <rPr>
        <sz val="10"/>
        <color theme="1"/>
        <rFont val="Calibri"/>
        <charset val="1"/>
      </rPr>
      <t xml:space="preserve"> BIMbot model exchange and automation layer (Norway); </t>
    </r>
    <r>
      <rPr>
        <b/>
        <sz val="10"/>
        <color theme="1"/>
        <rFont val="Calibri"/>
        <charset val="1"/>
      </rPr>
      <t>ESP-S015</t>
    </r>
    <r>
      <rPr>
        <sz val="10"/>
        <color theme="1"/>
        <rFont val="Calibri"/>
        <charset val="1"/>
      </rPr>
      <t xml:space="preserve"> Model Maturity Index (MMI) and property set standard (Norway); </t>
    </r>
    <r>
      <rPr>
        <b/>
        <sz val="10"/>
        <color theme="1"/>
        <rFont val="Calibri"/>
        <charset val="1"/>
      </rPr>
      <t>ESP-S018</t>
    </r>
    <r>
      <rPr>
        <sz val="10"/>
        <color theme="1"/>
        <rFont val="Calibri"/>
        <charset val="1"/>
      </rPr>
      <t xml:space="preserve"> Asset coding and IFC 4x3 delivery pattern (Norway); </t>
    </r>
    <r>
      <rPr>
        <b/>
        <sz val="10"/>
        <color theme="1"/>
        <rFont val="Calibri"/>
        <charset val="1"/>
      </rPr>
      <t>ESP-S020</t>
    </r>
    <r>
      <rPr>
        <sz val="10"/>
        <color theme="1"/>
        <rFont val="Calibri"/>
        <charset val="1"/>
      </rPr>
      <t xml:space="preserve"> Metadata and Naming + Managed Workspaces (Sweden); </t>
    </r>
    <r>
      <rPr>
        <b/>
        <sz val="10"/>
        <color theme="1"/>
        <rFont val="Calibri"/>
        <charset val="1"/>
      </rPr>
      <t>ESP-S026</t>
    </r>
    <r>
      <rPr>
        <sz val="10"/>
        <color theme="1"/>
        <rFont val="Calibri"/>
        <charset val="1"/>
      </rPr>
      <t xml:space="preserve"> ISO 19650-aligned ProjectWise deployment model (UK&amp;I); </t>
    </r>
    <r>
      <rPr>
        <b/>
        <sz val="10"/>
        <color theme="1"/>
        <rFont val="Calibri"/>
        <charset val="1"/>
      </rPr>
      <t>ESP-S028</t>
    </r>
    <r>
      <rPr>
        <sz val="10"/>
        <color theme="1"/>
        <rFont val="Calibri"/>
        <charset val="1"/>
      </rPr>
      <t xml:space="preserve"> ProjectWise dashboards and Teams reporting (UK&amp;I); </t>
    </r>
    <r>
      <rPr>
        <b/>
        <sz val="10"/>
        <color theme="1"/>
        <rFont val="Calibri"/>
        <charset val="1"/>
      </rPr>
      <t>ESP-S030</t>
    </r>
    <r>
      <rPr>
        <sz val="10"/>
        <color theme="1"/>
        <rFont val="Calibri"/>
        <charset val="1"/>
      </rPr>
      <t xml:space="preserve"> SPOT Workflow (Major Projects); </t>
    </r>
    <r>
      <rPr>
        <b/>
        <sz val="10"/>
        <color theme="1"/>
        <rFont val="Calibri"/>
        <charset val="1"/>
      </rPr>
      <t>ESP-S031</t>
    </r>
    <r>
      <rPr>
        <sz val="10"/>
        <color theme="1"/>
        <rFont val="Calibri"/>
        <charset val="1"/>
      </rPr>
      <t xml:space="preserve"> CODA Data Dictionary (CDD) (Major Projects); </t>
    </r>
    <r>
      <rPr>
        <b/>
        <sz val="10"/>
        <color theme="1"/>
        <rFont val="Calibri"/>
        <charset val="1"/>
      </rPr>
      <t>ESP-S032</t>
    </r>
    <r>
      <rPr>
        <sz val="10"/>
        <color theme="1"/>
        <rFont val="Calibri"/>
        <charset val="1"/>
      </rPr>
      <t xml:space="preserve"> BSDD testing / mapping (Major Projects)</t>
    </r>
  </si>
  <si>
    <t>Strong ideation area because it brings together the foundations needed for data reuse, automation, reliable monitoring, and evidence-based tendering. Ideation should distinguish data semantics, data assurance, and operational performance insight rather than assuming one data platform would address all four.</t>
  </si>
  <si>
    <t>Include where the central production asset affected is structured data, including its semantics, consistency, traceability, or use as evidence.</t>
  </si>
  <si>
    <t>Exclude movement of files or models between platforms when the principal issue is exchange mechanics rather than data meaning or trust. Exclude general project standards unless they directly govern data structure or assurance.</t>
  </si>
  <si>
    <t>WS1-P009 is more about management visibility than data standards and could become a separate production-insight area if later evidence shows sufficient depth. WS1-P006 overlaps C02 because "data setup" can refer both to project configuration and data structure.</t>
  </si>
  <si>
    <t>Problems captured in Workshop 1,  14. August</t>
  </si>
  <si>
    <t>How relevant is the problem across units?</t>
  </si>
  <si>
    <t>Are there relevant existing local practices which can be part of the solution, and how relevant are they in total as judged to be across units?</t>
  </si>
  <si>
    <t>Relevance level</t>
  </si>
  <si>
    <t>Problem ID</t>
  </si>
  <si>
    <t>Clusters WS1_08-26</t>
  </si>
  <si>
    <t>Primary Clusters WS2_08-26</t>
  </si>
  <si>
    <t>Short title</t>
  </si>
  <si>
    <t>Problem statement</t>
  </si>
  <si>
    <t>Example or observation</t>
  </si>
  <si>
    <t>Value lens(es)</t>
  </si>
  <si>
    <t>Cross_Unit_ProblemRelevance_Count</t>
  </si>
  <si>
    <t>Pri signal, by voting (WS1, 8-26)</t>
  </si>
  <si>
    <t>Sum of unit problem relevance + vote (WS1, 8-26)</t>
  </si>
  <si>
    <t>Sum of unit relevance for the relevant local practices 06-26</t>
  </si>
  <si>
    <t>Relevant ongoing initiatives 08-26
(AI inferred and QAd, 8-26)</t>
  </si>
  <si>
    <t>Relevant existing local standards and practices Q2-26
(AI inferred and QAd, 8-26)</t>
  </si>
  <si>
    <t>Type</t>
  </si>
  <si>
    <t>Top priority in</t>
  </si>
  <si>
    <t>NO</t>
  </si>
  <si>
    <t>SE</t>
  </si>
  <si>
    <t>FI</t>
  </si>
  <si>
    <t>DK</t>
  </si>
  <si>
    <t>MP</t>
  </si>
  <si>
    <t>REC</t>
  </si>
  <si>
    <t>UK&amp;I</t>
  </si>
  <si>
    <t>RelevantLocalPractices_Rationale
(AI inferred and QAd, 8-26)</t>
  </si>
  <si>
    <t>Source File</t>
  </si>
  <si>
    <t>Source Sheet</t>
  </si>
  <si>
    <t>Record Origin</t>
  </si>
  <si>
    <t>AIConfidence</t>
  </si>
  <si>
    <t>ConfidenceReason</t>
  </si>
  <si>
    <t>Reviewer</t>
  </si>
  <si>
    <t>ReviewerComments</t>
  </si>
  <si>
    <t>Source Type</t>
  </si>
  <si>
    <t>WS1-P017</t>
  </si>
  <si>
    <t>Software standardization</t>
  </si>
  <si>
    <t>C02 Consistent and reusable project production environments</t>
  </si>
  <si>
    <t>Fragmented project setup and infrastructure</t>
  </si>
  <si>
    <t>Project teams and disciplines lack harmonised project setup and digital infrastructure when starting projects. Individuals push for different tools, standards, and ways of working, resulting in fragmented setups across projects, reduced work sharing, and an inability to harvest and reuse data from project to project.</t>
  </si>
  <si>
    <t>Each new project tends to reinvent its digital infrastructure and setup depending on who is involved. Even large projects across the same teams can have slightly different configurations, making cross-project reuse and standardisation difficult.</t>
  </si>
  <si>
    <t>Work sharing; Project write-downs</t>
  </si>
  <si>
    <t>PI-RTR-001 RTR Software Standardisation Exercise: Software harmonisation can reduce fragmented tool choices, but covers only part of the broader project-environment, standards, and ways-of-working problem.
PI-RTR-002 Unified Production Environment: Streamlined project environments and aligned production platforms directly respond to fragmented project setup and digital infrastructure.
PI-RTR-003 Transforming Document Management: A common document-management system and revised processes can standardise one important part of the project environment, but not the complete production setup.
PI-RTR-007 Building our Project Management and Delivery department within Major Projects: Harmonised delivery capability can support more consistent project setup and management in major projects, but does not directly establish technical configurations or production infrastructure.</t>
  </si>
  <si>
    <t>ESP-S001 ProjectWise manager governance model (Denmark)
ESP-S002 ProjectWise manager guide and standards portal (Denmark)
ESP-S003 ProjectWise for production - RAMDK (Denmark)
ESP-S004 Managed workspace in ProjectWise (Denmark)
ESP-S005 CAD project manual and transport standards portal (Denmark)
ESP-S008 Quadri / Trimble Connect project environment (Finland)
ESP-S009 Finnish configuration packages for design tools (Finland)
ESP-S010 Forma pilot with discipline templates (Finland)
ESP-S013 Integrated multi-platform project environment (Norway)
ESP-S019 CAD Configuration / Configuration Switch (Sweden)
ESP-S020 Metadata and Naming + Managed Workspaces (Sweden)
ESP-S022 Opt-in model via project support SharePoint page (Sweden)
ESP-S024 Early-phase digital delivery manager involvement (UK&amp;I)
ESP-S025 Digital fit assessment (UK&amp;I)
ESP-S026 ISO 19650-aligned ProjectWise deployment model (UK&amp;I)
ESP-S027 ProjectWise build sheet and staged mobilisation checks (UK&amp;I)</t>
  </si>
  <si>
    <t>Recurring</t>
  </si>
  <si>
    <t>Experienced</t>
  </si>
  <si>
    <t>ESP-S001 Assigns named local responsibility for consistent project creation, access, and administration.
ESP-S002 Documents the standard setup process and manager network used to establish project environments.
ESP-S003 Provides repeatable project structures, permissions, external access, and project creation.
ESP-S004 Delivers common tools, configurations, and templates whenever a project is opened.
ESP-S005 Defines a common project-setup baseline for naming, coordinate systems, drawings, and discipline outputs.
ESP-S008 Provides a structured project environment with repeatable folder, naming, and base-setup elements.
ESP-S009 Gives users a packaged starting configuration for the design tools used in projects.
ESP-S010 Pilots reusable discipline and client templates intended to make project creation more standardised.
ESP-S013 Provides a connected multi-platform setup for complex project delivery.
ESP-S019 Deploys standard CAD configurations and templates through one mechanism.
ESP-S020 Standardises naming, metadata, and managed-workspace setup.
ESP-S022 Gives projects a defined request route for obtaining a supported production environment.
ESP-S024 Brings digital expertise into early project decisions so the project does not begin with an unsuitable setup.
ESP-S025 Assesses project complexity and determines whether a managed environment and stronger digital support are required.
ESP-S026 Provides a standard managed deployment with common folders, workflows, metadata, groups, and security.
ESP-S027 Captures requirements, stages the environment, checks it, and approves it before production use.</t>
  </si>
  <si>
    <t>2026-08 Workshop_1_problem_register.xlsx</t>
  </si>
  <si>
    <t>Problem register</t>
  </si>
  <si>
    <t>Imported</t>
  </si>
  <si>
    <t>Not reviewed</t>
  </si>
  <si>
    <t>Workshop 1 problem</t>
  </si>
  <si>
    <t>WS1-P026</t>
  </si>
  <si>
    <t>Tool skills; Knowledge management; Commercial</t>
  </si>
  <si>
    <t>C06 Production knowledge, competence and adoption</t>
  </si>
  <si>
    <t>Delivery teams including REC lack correct skills to deliver digital outputs (models, drawings and data principally) right first time</t>
  </si>
  <si>
    <t>Currently project performance is impacted by the lack of skills within the business in the digital production space. This is causing a "silent drain" on projects as we're consistently spending more time and money on outputs than planned during tender without the ability to go back to clients to request additional fee due to being Ramboll error. This is impacting project performance on a large percentage of projects.</t>
  </si>
  <si>
    <t>Multiple projects/frequent issue.</t>
  </si>
  <si>
    <t>Project write-downs</t>
  </si>
  <si>
    <t>PI-RTR-002 Unified Production Environment: Supported platforms, production knowledge, and streamlined environments can strengthen technical delivery capability, but the initiative does not evidence competence development across all delivery teams or REC.
PI-RTR-007 Building our Project Management and Delivery department within Major Projects: Explicitly builds geographically distributed project-management and delivery capability for more reliable delivery, directly addressing part of the capability gap, although not specifically competence in production tools.</t>
  </si>
  <si>
    <t>ESP-S006 Teams-based product information and support channel (Denmark)
ESP-S011 Transport software standards portal and Teams communication channels (Finland)
ESP-S012 Super-user network and office roadshow support model (Finland)
ESP-S023 Project Hub (SharePoint coordination layer) (Sweden)</t>
  </si>
  <si>
    <t>ESP-S006 Gives tool users access to updates, tips, known issues, and support guidance relevant to correct tool use.
ESP-S011 Provides a shared source for software guidance, templates, installation instructions, and support services.
ESP-S012 Provides local super-users who can explain standards, support users, and feed practical problems back to owners.
ESP-S023 Supports onboarding and training in project procedures, folder structures, and production ways of working.</t>
  </si>
  <si>
    <t>WS1-P011</t>
  </si>
  <si>
    <t>Knowledge management; Software standardization; Undocumented/unclear standards</t>
  </si>
  <si>
    <t>Difficult cross-country project handover</t>
  </si>
  <si>
    <t>Sharing projects across teams, such as RFI to RNO or RNO to RDK, requires time to understand different processes, standards, software, and local practices. This can lead to rework or quality issues.</t>
  </si>
  <si>
    <t>An RUK team engineer working on an RFI project needed additional time to become familiar with Finland’s processes and software competencies.</t>
  </si>
  <si>
    <t>Work sharing</t>
  </si>
  <si>
    <t>PI-RTR-001 RTR Software Standardisation Exercise: Reducing variation in software portfolios and improving interoperability can remove one source of cross-country handover friction, although differences in local processes and practices remain outside its main scope.
PI-RTR-002 Unified Production Environment: Shared production platforms, environments, and knowledge can make cross-country project handovers more consistent, although they do not fully resolve local working-practice differences.
PI-RTR-007 Building our Project Management and Delivery department within Major Projects: Distributed project-management and delivery capability can support more reliable and harmonised delivery between geographies, particularly for large projects, but does not directly standardise software or local technical practices.</t>
  </si>
  <si>
    <t>ESP-S002 ProjectWise manager guide and standards portal (Denmark)
ESP-S003 ProjectWise for production - RAMDK (Denmark)
ESP-S004 Managed workspace in ProjectWise (Denmark)
ESP-S005 CAD project manual and transport standards portal (Denmark)
ESP-S008 Quadri / Trimble Connect project environment (Finland)
ESP-S011 Transport software standards portal and Teams communication channels (Finland)
ESP-S012 Super-user network and office roadshow support model (Finland)
ESP-S013 Integrated multi-platform project environment (Norway)
ESP-S017 Project SharePoint/Teams information hub (Norway)
ESP-S023 Project Hub (SharePoint coordination layer) (Sweden)
ESP-S026 ISO 19650-aligned ProjectWise deployment model (UK&amp;I)</t>
  </si>
  <si>
    <t>Recognised</t>
  </si>
  <si>
    <t>ESP-S002 Documents ProjectWise setup, support steps, and contacts, reducing dependence on informal local knowledge.
ESP-S003 Gives project members a repeatable structure and controlled access when joining or transferring between projects.
ESP-S004 Makes the same project tools, configurations, templates, and support files available to colleagues in different locations.
ESP-S005 Gives incoming teams a common reference for project setup, naming, drawing production, and discipline standards.
ESP-S008 Provides a shared project environment and standard base structure that supports teams working in the same project context.
ESP-S011 Gives transferred staff one source for current software guidance, templates, installation information, and support.
ESP-S012 Provides local people who can explain standards and route questions and feedback to responsible owners.
ESP-S013 Connects the platforms used by internal and external teams and uses digital resources to bridge differences between systems.
ESP-S017 Gives project members a visible entry point to the project's systems, guidance, links, and updates.
ESP-S023 Provides a repeatable project-information and onboarding hub covering procedures, folder structures, and navigation.
ESP-S026 Gives users and partners a familiar controlled environment through common structures, workflows, metadata, and permissions.</t>
  </si>
  <si>
    <t>WS1-P012</t>
  </si>
  <si>
    <t>Local standards hinder work sharing</t>
  </si>
  <si>
    <t>Work sharing between business units is difficult because units have their own poorly documented project standards. There is resistance to moving even a service line-coordinated project standard forward.</t>
  </si>
  <si>
    <t>At the Tampere office it was asked: ‘How can we access the data that is located in the Lahti office network drive?’ Street and landscaping have the highest resistance to change.</t>
  </si>
  <si>
    <t>Work sharing; Project write-downs; Tender competitiveness</t>
  </si>
  <si>
    <t>PI-RTR-001 RTR Software Standardisation Exercise: Supports cross-geography software harmonisation, but does not directly document or implement common project standards across business units.
PI-RTR-002 Unified Production Environment: Common production knowledge and aligned environments can provide a basis for shared standards, although local resistance and incomplete documentation require additional adoption measures.
PI-RTR-007 Building our Project Management and Delivery department within Major Projects: Its harmonised delivery focus and Major Projects Handbook can support more consistent delivery practices, but only partly address local technical standards and resistance to common ways of working.</t>
  </si>
  <si>
    <t>ESP-S002 ProjectWise manager guide and standards portal (Denmark)
ESP-S003 ProjectWise for production - RAMDK (Denmark)
ESP-S004 Managed workspace in ProjectWise (Denmark)
ESP-S005 CAD project manual and transport standards portal (Denmark)
ESP-S007 Client-led data management and modelling instruction model (Finland)
ESP-S008 Quadri / Trimble Connect project environment (Finland)
ESP-S011 Transport software standards portal and Teams communication channels (Finland)
ESP-S012 Super-user network and office roadshow support model (Finland)
ESP-S019 CAD Configuration / Configuration Switch (Sweden)
ESP-S020 Metadata and Naming + Managed Workspaces (Sweden)
ESP-S023 Project Hub (SharePoint coordination layer) (Sweden)
ESP-S026 ISO 19650-aligned ProjectWise deployment model (UK&amp;I)</t>
  </si>
  <si>
    <t>ESP-S002 Makes setup guidance and responsible contacts explicit rather than leaving standards as informal local knowledge.
ESP-S003 Implements a repeatable project structure and permission model across relevant projects.
ESP-S004 Delivers common configurations and templates through the project environment rather than through local copies.
ESP-S005 Documents common CAD and project standards in one reference point and allows projects to document only justified exceptions.
ESP-S007 Translates client and agency standards into a defined project baseline for data and modelling.
ESP-S008 Provides standard folder, naming, and base-setup elements within a shared project environment.
ESP-S011 Provides a trusted location for current standards, templates, instructions, and support information.
ESP-S012 Reinforces standards through local support, communication, feedback, and office outreach.
ESP-S019 Deploys official CAD configurations and templates through a common configuration mechanism.
ESP-S020 Standardises metadata, naming, and managed-workspace setup within ProjectWise.
ESP-S023 Presents procedures and company practices through a repeatable project-hub structure.
ESP-S026 Implements common CDE structures, metadata, workflows, and controls for participating organisations.</t>
  </si>
  <si>
    <t>WS1-P001</t>
  </si>
  <si>
    <t>Citizen development</t>
  </si>
  <si>
    <t>C05 Scalable automation and internally developed production tools</t>
  </si>
  <si>
    <t>Inconsistent use of Enable AI and automation</t>
  </si>
  <si>
    <t>AI and automatization is used non-systematically among different disciplines and depends on individuals. AI tools are used by individuals and some specialist communities, but there is no common way to quality assure, share, or scale working methods. The level of maturity also varies between disciplines.</t>
  </si>
  <si>
    <t>Not provided.</t>
  </si>
  <si>
    <t>Enable AI and automation</t>
  </si>
  <si>
    <t>PI-RTR-004 Enabling Citizen Development: Addresses inconsistent Enable AI and automation practices by establishing common tooling, enablement, governance, and safe approaches for citizen development.
PI-RTR-005 Script Sharing Platform rollout and scaling: Provides a governed environment for sharing and reusing automation assets, addressing the lack of systematic sharing and scaling, although not the full competence and quality-assurance problem.</t>
  </si>
  <si>
    <t>Emerging</t>
  </si>
  <si>
    <t>WS1-P013</t>
  </si>
  <si>
    <t>Knowledge management; Undocumented/unclear standards</t>
  </si>
  <si>
    <t>Scattered guidance and support information</t>
  </si>
  <si>
    <t>Information about ways of working, software support, education, etc. is scattered and unstructured. This makes it difficult to onboard new staff and establish standardised ways of working.</t>
  </si>
  <si>
    <t>Onboarding new staff is a struggle. There is no single point of entry for information.</t>
  </si>
  <si>
    <t>PI-RTR-002 Unified Production Environment: Production knowledge is part of its scope and could make guidance more consistent, although a single entry point for all support, education, and onboarding information is not explicitly evidenced.
PI-RTR-003 Transforming Document Management: A fit-for-purpose document-management system and revised processes can improve the organisation of document-management guidance, but not all software, education, and working-method information.
PI-RTR-006 Software processes &amp; portal: Directly addresses employee software journeys, software requests, and production-software support flows, responding to scattered software guidance and support information.</t>
  </si>
  <si>
    <t>ESP-S002 ProjectWise manager guide and standards portal (Denmark)
ESP-S005 CAD project manual and transport standards portal (Denmark)
ESP-S006 Teams-based product information and support channel (Denmark)
ESP-S011 Transport software standards portal and Teams communication channels (Finland)
ESP-S012 Super-user network and office roadshow support model (Finland)
ESP-S017 Project SharePoint/Teams information hub (Norway)
ESP-S023 Project Hub (SharePoint coordination layer) (Sweden)</t>
  </si>
  <si>
    <t>ESP-S002 Combines setup instructions, manager contacts, and support guidance in a common portal.
ESP-S005 Provides one reference point for CAD and project setup standards.
ESP-S006 Provides a visible channel for tool updates, support information, release information, and tips.
ESP-S011 Provides one software-information site supported by Teams communication channels.
ESP-S012 Complements written guidance with local super-users who can explain it and route feedback.
ESP-S017 Gathers project links, guidance, updates, and tool information into one project entry point.
ESP-S023 Gathers project procedures, navigation, communication, and onboarding information in a reusable hub.</t>
  </si>
  <si>
    <t>WS1-P008</t>
  </si>
  <si>
    <t>Digital Delivery Management</t>
  </si>
  <si>
    <t>C01 Reliable project mobilisation and digital delivery governance</t>
  </si>
  <si>
    <t>Digital risks identified too late</t>
  </si>
  <si>
    <t>Digital requirements and risks are not sufficiently identified in the tender phase. There is often insufficient time to identify all risks related to digital requirements, and this is moved to the post-contract phase, resulting in underestimated work or competence needed to fulfil client requirements. This often affects project performance.</t>
  </si>
  <si>
    <t>ESP-S024 Early-phase digital delivery manager involvement (UK&amp;I)
ESP-S025 Digital fit assessment (UK&amp;I)</t>
  </si>
  <si>
    <t>No known relevance</t>
  </si>
  <si>
    <t>ESP-S024 Involves a Digital Delivery Manager during the tender gates to review digital requirements, risks, standards, and setup decisions before mobilisation.
ESP-S025 Provides a structured early assessment of complexity, digital requirements, standards gaps, and delivery risks.</t>
  </si>
  <si>
    <t>WS1-P027</t>
  </si>
  <si>
    <t>Commercial</t>
  </si>
  <si>
    <t>Consistency across departments in terms of digital plan and focus, lack of HoD KPI's supporting improvements in the digital space</t>
  </si>
  <si>
    <t>Improving the situation in the digital management and delivery space requires all departments to push in the same direction. Historically there has been a disconnect between departments which has impacted ability to improve the situation. Moving forward there is a need for all HoD's to be involved in and understand digital needs of the business and have clear goals/KPI's associated with this.</t>
  </si>
  <si>
    <t>Department Plans</t>
  </si>
  <si>
    <t>Work sharing; Enable AI and automation; Project write-downs; Tender competitiveness</t>
  </si>
  <si>
    <t>PI-RTR-007 Building our Project Management and Delivery department within Major Projects: Its department-building, geographic expansion, delivery focus, and Major Projects Handbook can provide stronger common direction within Major Projects, but do not evidence aligned priorities and performance measures across all Transport departments.</t>
  </si>
  <si>
    <t>WS1-P018</t>
  </si>
  <si>
    <t>Project standards not fully implemented</t>
  </si>
  <si>
    <t>The project model, folder structure, and other standards are not fully implemented, resulting in diverse ways of working.</t>
  </si>
  <si>
    <t>Different ways of working mean longer start-up, rework, reinventing the wheel, and poorer quality.</t>
  </si>
  <si>
    <t>PI-RTR-001 RTR Software Standardisation Exercise: Can support consistent software choices, but does not directly implement project models, folder structures, templates, or standards.
PI-RTR-002 Unified Production Environment: Alignment of production processes, knowledge, platforms, and environments supports practical implementation of consistent project standards and ways of working.
PI-RTR-003 Transforming Document Management: Process revision, system implementation, and behavioural adoption directly support implementation of document-management standards, although not all project-production standards.
PI-RTR-007 Building our Project Management and Delivery department within Major Projects: The harmonised delivery focus and Major Projects Handbook can support implementation of common delivery practices, but the documented scope does not specifically cover digital models or folder standards.</t>
  </si>
  <si>
    <t>ESP-S001 ProjectWise manager governance model (Denmark)
ESP-S003 ProjectWise for production - RAMDK (Denmark)
ESP-S004 Managed workspace in ProjectWise (Denmark)
ESP-S005 CAD project manual and transport standards portal (Denmark)
ESP-S008 Quadri / Trimble Connect project environment (Finland)
ESP-S009 Finnish configuration packages for design tools (Finland)
ESP-S010 Forma pilot with discipline templates (Finland)
ESP-S011 Transport software standards portal and Teams communication channels (Finland)
ESP-S012 Super-user network and office roadshow support model (Finland)
ESP-S019 CAD Configuration / Configuration Switch (Sweden)
ESP-S020 Metadata and Naming + Managed Workspaces (Sweden)
ESP-S023 Project Hub (SharePoint coordination layer) (Sweden)
ESP-S026 ISO 19650-aligned ProjectWise deployment model (UK&amp;I)
ESP-S027 ProjectWise build sheet and staged mobilisation checks (UK&amp;I)</t>
  </si>
  <si>
    <t>needs checking</t>
  </si>
  <si>
    <t>ESP-S001 Uses named managers to create projects and keep structures and access aligned with the shared standard.
ESP-S003 Implements standard project structures and permission groups directly in the production environment.
ESP-S004 Delivers required configurations, templates, and support files through the managed workspace.
ESP-S005 Provides the documented standards projects are expected to follow and a method for recording exceptions.
ESP-S008 Implements repeatable folder, naming, and base-setup elements in the project environment.
ESP-S009 Deploys available templates and configurations within the design-tool setup.
ESP-S010 Uses prepared discipline templates to make new project creation more consistent.
ESP-S011 Makes current standards and templates discoverable and communicates updates to users.
ESP-S012 Supports practical adoption through local super-users, feedback, and outreach.
ESP-S019 Gives projects access to official CAD configurations and templates through a common switch.
ESP-S020 Implements metadata, naming, and workspace rules in ProjectWise.
ESP-S023 Presents project procedures and company practices through a repeatable project-hub template.
ESP-S026 Implements standard structures, workflows, metadata, security, and review controls in the CDE.
ESP-S027 Checks workflows, numbering, and environments before the production setup is approved.</t>
  </si>
  <si>
    <t>WS1-P020</t>
  </si>
  <si>
    <t>Tool sharing</t>
  </si>
  <si>
    <t>Limited cross-country innovation sharing</t>
  </si>
  <si>
    <t>Experience sharing across countries is poor for innovative solutions that could strengthen important tenders. There are few dedicated arenas for sharing innovative solutions or ways of working across countries.</t>
  </si>
  <si>
    <t>Tender competitiveness</t>
  </si>
  <si>
    <t>PI-RTR-002 Unified Production Environment: Shared production knowledge can improve cross-country exchange of methods and solutions, although dedicated innovation-sharing arenas and tender application are not explicit.
PI-RTR-005 Script Sharing Platform rollout and scaling: Makes reusable engineering automation assets visible across teams and geographies, directly improving sharing of one important category of production innovation, although it does not cover all types of innovation or tender collaboration.</t>
  </si>
  <si>
    <t>WS1-P004</t>
  </si>
  <si>
    <t>Data security</t>
  </si>
  <si>
    <t>C07 Client, regulatory and commercial conditions for digital production</t>
  </si>
  <si>
    <t>Confidentiality restricts work sharing with REC</t>
  </si>
  <si>
    <t>Confidentiality requirements make it difficult to share work with REC. Framework agreements can restrict consultants from using REC for some projects because of the risk of data breaches.</t>
  </si>
  <si>
    <t>WS1-P019</t>
  </si>
  <si>
    <t>Coordination challenges in multidisciplinary projects</t>
  </si>
  <si>
    <t>Multidisciplinary projects are difficult to manage. Coordination becomes challenging when work is shared between different business units.</t>
  </si>
  <si>
    <t>PI-RTR-002 Unified Production Environment: Shared production platforms and environments can reduce digital coordination friction across disciplines and business units, although multidisciplinary management is broader than its technical scope.
PI-RTR-007 Building our Project Management and Delivery department within Major Projects: Building geographically distributed project-management and delivery capability directly responds to coordination and harmonisation challenges in complex multidisciplinary projects.</t>
  </si>
  <si>
    <t>ESP-S005 CAD project manual and transport standards portal (Denmark)
ESP-S013 Integrated multi-platform project environment (Norway)
ESP-S014 BIMbot model exchange and automation layer (Norway)
ESP-S017 Project SharePoint/Teams information hub (Norway)
ESP-S023 Project Hub (SharePoint coordination layer) (Sweden)
ESP-S024 Early-phase digital delivery manager involvement (UK&amp;I)
ESP-S026 ISO 19650-aligned ProjectWise deployment model (UK&amp;I)</t>
  </si>
  <si>
    <t>ESP-S005 Gives all disciplines a common project setup and output reference.
ESP-S013 Connects the systems used by disciplines, clients, and contractors and uses dedicated resources to bridge them.
ESP-S014 Keeps interdisciplinary models updated across platforms and reduces manual coordination exchanges.
ESP-S017 Gives a multi-system project one shared navigation and information layer.
ESP-S023 Provides one project communication, onboarding, and navigation layer for multidisciplinary teams.
ESP-S024 Introduces digital coordination expertise while delivery arrangements are still being defined.
ESP-S026 Provides controlled structures and workflows for collaboration, review, revision, and issue across organisations.</t>
  </si>
  <si>
    <t>WS1-P014</t>
  </si>
  <si>
    <t>Platform/Software Interoperability</t>
  </si>
  <si>
    <t>Confusion from multiple project platforms</t>
  </si>
  <si>
    <t>Multiple platforms create confusion in projects. All team members are affected, and project managers struggle to give clear and consistent instructions.</t>
  </si>
  <si>
    <t>Some activities are done in FileRy and some in the production environment.</t>
  </si>
  <si>
    <t>PI-RTR-001 RTR Software Standardisation Exercise: Identifying software overlaps and rationalisation opportunities can reduce platform proliferation, although it does not define a single project-platform model.
PI-RTR-002 Unified Production Environment: Its objective of aligning supported production platforms and streamlining project environments directly responds to confusion created by multiple platforms.
PI-RTR-003 Transforming Document Management: Establishing a fit-for-purpose document-management system can reduce ambiguity concerning document-management platforms, but not the wider project-platform landscape.
PI-RTR-006 Software processes &amp; portal: Better software-portfolio governance and employee software journeys can clarify which software and services should be used, although this is not full platform consolidation.</t>
  </si>
  <si>
    <t>ESP-S013 Integrated multi-platform project environment (Norway)
ESP-S017 Project SharePoint/Teams information hub (Norway)
ESP-S023 Project Hub (SharePoint coordination layer) (Sweden)
ESP-S024 Early-phase digital delivery manager involvement (UK&amp;I)
ESP-S025 Digital fit assessment (UK&amp;I)</t>
  </si>
  <si>
    <t>ESP-S013 Provides an operating model for connecting and coordinating several production and collaboration platforms in complex projects.
ESP-S017 Gives users one navigation point across a complicated multi-system project setup.
ESP-S023 Gives participants one consistent place for project navigation, procedures, and live information.
ESP-S024 Supports early decisions about the appropriate CDE, tools, standards, and digital setup.
ESP-S025 Provides a structured decision on whether a managed environment is needed and which digital gaps must be addressed.</t>
  </si>
  <si>
    <t>WS1-P015</t>
  </si>
  <si>
    <t>C04 Efficient information exchange and tool interoperability</t>
  </si>
  <si>
    <t>Inefficient file exchange between vendors</t>
  </si>
  <si>
    <t>Dynamic file sharing between vendors is a constant challenge. It can be labour-intensive, and the exchange frequency is often inadequate unless automated. This can cause misaligned design and time spent updating material. There is no clear process or agreement on formats used between software or on which files are the original/native design files.</t>
  </si>
  <si>
    <t>PI-RTR-001 RTR Software Standardisation Exercise: Improved interoperability and software standardisation can reduce cross-vendor exchange friction, but the initiative does not establish file-exchange agreements, native-file rules, or automated exchange processes.
PI-RTR-002 Unified Production Environment: Interoperability and streamlined production environments directly respond to recurring exchange problems between vendor ecosystems, although detailed format and native-file rules remain necessary.
PI-RTR-003 Transforming Document Management: Revised document-management processes can improve control of exchanged files and documents, but do not resolve full design-tool interoperability.</t>
  </si>
  <si>
    <t>ESP-S013 Integrated multi-platform project environment (Norway)
ESP-S014 BIMbot model exchange and automation layer (Norway)</t>
  </si>
  <si>
    <t>ESP-S013 Connects design tools, common data environments, and collaboration platforms through an integrated project operating model.
ESP-S014 Directly automates file and model movement between platforms and can extract, merge, split, and check IFC information.</t>
  </si>
  <si>
    <t>WS1-P002</t>
  </si>
  <si>
    <t>Barriers to scaling internally developed tools</t>
  </si>
  <si>
    <t>Internal tool development is limited by recurring factors: there is no clear way to standardise and publish a tool developed for one project, so tools are often forgotten; and the use of AI to script solutions is limited because available AI tools are not permitted for this purpose, even though scripting is performed on project material.</t>
  </si>
  <si>
    <t>A tool for dynamic implementation of classification is limited by the credits and tools available for AI, as well as the absence of a way to publish it in an online database.</t>
  </si>
  <si>
    <t>Enable AI and automation; Project write-downs; Tender competitiveness</t>
  </si>
  <si>
    <t>PI-RTR-004 Enabling Citizen Development: Its discovery, tooling, enablement, and pilot work can reduce barriers to developing supported internal solutions, although it does not evidence a complete publishing and product-management pathway.
PI-RTR-005 Script Sharing Platform rollout and scaling: Directly provides a governed way to publish, discover, reuse, and scale internally developed scripts, plugins, and visual-programming solutions.
PI-RTR-006 Software processes &amp; portal: Improved software governance, employee journeys, and request workflows may support access to approved tooling, but only partly address publication and scaling of internally developed tools.</t>
  </si>
  <si>
    <t>WS1-P016</t>
  </si>
  <si>
    <t>Misaligned setups across software vendors</t>
  </si>
  <si>
    <t>Projects using multiple software vendors often lack standard setups, and setups are not aligned between software. Significant project time is spent trying to ensure alignment, and delivered material may not be coherent across disciplines or meet client requirements.</t>
  </si>
  <si>
    <t>Title blocks are not consistent across Bentley, Tekla, and Autodesk.</t>
  </si>
  <si>
    <t>PI-RTR-001 RTR Software Standardisation Exercise: Directly analyses software overlaps and interoperability as a basis for standardisation, responding to inconsistent and misaligned multi-vendor setups.
PI-RTR-002 Unified Production Environment: Aligning supported production platforms and interoperability directly addresses standard setups that are not aligned between software vendors.</t>
  </si>
  <si>
    <t>ESP-S004 Managed workspace in ProjectWise (Denmark)
ESP-S009 Finnish configuration packages for design tools (Finland)
ESP-S013 Integrated multi-platform project environment (Norway)
ESP-S019 CAD Configuration / Configuration Switch (Sweden)
ESP-S020 Metadata and Naming + Managed Workspaces (Sweden)</t>
  </si>
  <si>
    <t>ESP-S004 Distributes common tool configurations, menus, templates, and support files through a managed workspace.
ESP-S009 Packages configurations, templates, naming, drawings, client definitions, and support files into design-tool setups.
ESP-S013 Provides a connected operating setup across several vendors and platforms, supported by resources that bridge system differences.
ESP-S019 Provides a common mechanism for deploying and accessing official CAD configurations and templates.
ESP-S020 Aligns naming, metadata, and managed-workspace setup within the ProjectWise environment.</t>
  </si>
  <si>
    <t>WS1-P006</t>
  </si>
  <si>
    <t>Data Strategy</t>
  </si>
  <si>
    <t>C03 Structured, trustworthy and reusable production data</t>
  </si>
  <si>
    <t>Inconsistent data setup across tools</t>
  </si>
  <si>
    <t>Working with project data across multiple software vendors and standards is difficult because data setups differ across software. Coding must be dynamically updated and shared live between teams and software to ensure consistent and correct implementation. The issue is increasingly important as clients request more information.</t>
  </si>
  <si>
    <t>On the CRNHE metro project, a whitelist database was developed to mitigate the issue, but currently available tools and options limit the solution that can be implemented.</t>
  </si>
  <si>
    <t>PI-RTR-001 RTR Software Standardisation Exercise: Its analysis of software overlaps and interoperability can address part of the inconsistent cross-tool setup, but not the full requirement for dynamically controlled and synchronised project data.
PI-RTR-002 Unified Production Environment: Directly targets supported production platforms, interoperability, and data governance, responding to inconsistent data setup across tools.</t>
  </si>
  <si>
    <t>ESP-S014 BIMbot model exchange and automation layer (Norway)
ESP-S018 Asset coding and IFC 4x3 delivery pattern (Norway)
ESP-S030 SPOT Workflow (Major Projects)
ESP-S031 CODA Data Dictionary (CDD) (Major Projects)
ESP-S032 BSDD testing / mapping (Major Projects)</t>
  </si>
  <si>
    <t>Recurring, soon to be emerging</t>
  </si>
  <si>
    <t>ESP-S014 Automates movement and checking of model data between platforms, reducing manual cross-tool handling.
ESP-S018 Applies structured asset codes and IFC properties to improve consistency in model-based data delivery.
ESP-S030 Uses a shared data backbone and common data model to support parallel workflows across multiple design and analysis tools.
ESP-S031 Provides common attribute definitions, types, and allowed values across projects, tools, and scripts.
ESP-S032 Maps the project data dictionary to bSDD and IFC 4.3 to support standardised exchange between systems.</t>
  </si>
  <si>
    <t>WS1-P007</t>
  </si>
  <si>
    <t>Inconsistent naming and data structures</t>
  </si>
  <si>
    <t>Project teams working across disciplines and tools experience inconsistent naming conventions and the absence of a unified data strategy when creating and exchanging objects across BIM models, calculation sheets, and other tools. This results in poor interoperability, fragmented workflows, and an inability to harvest and reuse data across projects.</t>
  </si>
  <si>
    <t>The same object is often named differently across BIM models, calculation sheets, other tools, and projects. Without shared naming conventions or a data strategy, harmonising workflows and aggregating data across projects becomes extremely difficult.</t>
  </si>
  <si>
    <t>Work sharing; Enable AI and automation; Project write-downs</t>
  </si>
  <si>
    <t>PI-RTR-001 RTR Software Standardisation Exercise: Software standardisation and interoperability analysis can reduce differences between tool conventions, but do not by themselves establish a unified naming and data strategy.
PI-RTR-002 Unified Production Environment: Its data-governance and interoperability scope directly addresses fragmented data structures and poor reuse across production tools.</t>
  </si>
  <si>
    <t>ESP-S005 CAD project manual and transport standards portal (Denmark)
ESP-S007 Client-led data management and modelling instruction model (Finland)
ESP-S015 Model Maturity Index (MMI) and property set standard (Norway)
ESP-S018 Asset coding and IFC 4x3 delivery pattern (Norway)
ESP-S020 Metadata and Naming + Managed Workspaces (Sweden)
ESP-S031 CODA Data Dictionary (CDD) (Major Projects)
ESP-S032 BSDD testing / mapping (Major Projects)</t>
  </si>
  <si>
    <t>ESP-S005 Provides common project guidance covering naming, coordinate systems, drawing setup, and discipline outputs.
ESP-S007 Establishes a project baseline for naming, data structure, deliverables, and modelling expectations.
ESP-S015 Defines common model-maturity information and structured property sets across disciplines.
ESP-S018 Standardises object coding and information properties for model-based asset delivery.
ESP-S020 Explicitly standardises metadata, naming conventions, and managed-workspace setup.
ESP-S031 Provides a single reference for attribute names, definitions, types, and permitted values.
ESP-S032 Aligns the CODA dictionary with recognised bSDD and IFC 4.3 structures.</t>
  </si>
  <si>
    <t>WS1-P003</t>
  </si>
  <si>
    <t>Uncoordinated citizen-developed AI tools</t>
  </si>
  <si>
    <t>Citizen developers and teams across the organisation use a fragmented and uncoordinated approach to building tools with AI, such as Copilot. Solutions are developed individually without shared standards, quality control, or integration with legacy systems, resulting in duplicated, low-quality, and incompatible tools that are difficult to share, integrate, and maintain.</t>
  </si>
  <si>
    <t>Because AI dramatically lowers development time, many citizen developers build their own tools in parallel, often solving the same problem multiple times in slightly different ways. These tools rarely connect, are not always quality-assured, and frequently clash with existing legacy tools.</t>
  </si>
  <si>
    <t>PI-RTR-004 Enabling Citizen Development: Directly addresses fragmented citizen development through common enablement, governance, tooling, and safe supported approaches.
PI-RTR-005 Script Sharing Platform rollout and scaling: A shared governed platform can reduce duplicated and disconnected automation development by making reusable assets visible and available across teams, although it does not by itself resolve legacy-system integration.</t>
  </si>
  <si>
    <t>Recurring; Emerging</t>
  </si>
  <si>
    <t>WS1-P022</t>
  </si>
  <si>
    <t>Automation difficult to understand and reuse</t>
  </si>
  <si>
    <t>It is difficult to understand or reuse automation created by another team. Automation also requires modification for specific projects or countries, and other team members may struggle to modify it.</t>
  </si>
  <si>
    <t>Work sharing; Enable AI and automation</t>
  </si>
  <si>
    <t>PI-RTR-004 Enabling Citizen Development: Common enablement and governance can make citizen-developed solutions more reusable and understandable, although localisation and reusable documentation mechanisms are not explicit.
PI-RTR-005 Script Sharing Platform rollout and scaling: Directly addresses difficulty finding and reusing internally developed automation assets by providing a governed sharing platform, although adaptation to different country contexts remains outside the documented scope.</t>
  </si>
  <si>
    <t>ESP-S030 SPOT Workflow (Major Projects)
ESP-S031 CODA Data Dictionary (CDD) (Major Projects)</t>
  </si>
  <si>
    <t>ESP-S030 Uses documented building blocks, templates, workflows, toolkits, and a common data model to support reuse across connected engineering workflows.
ESP-S031 Standardises attribute names and values so scripts and automation can operate consistently and be reused across CODA-aligned projects.</t>
  </si>
  <si>
    <t>WS1-P023</t>
  </si>
  <si>
    <t>Tool skills; Knowledge management</t>
  </si>
  <si>
    <t>Underuse of modern modelling features</t>
  </si>
  <si>
    <t>Transport designers underuse new modelling and drawing features and develop workarounds for problems already solved by vendors, or need entirely new approaches. CAD and Novapoint are used as they were in 2015. Designers manually perform tasks already automated and create models in a hard way, causing quality issues and time concerns.</t>
  </si>
  <si>
    <t>A rail unit reported that eliminating all model- and drawing-production-related claims and budget overruns could have a major profitability impact. One business unit developed a Lisp routine to complete a task that is already a Civil 3D feature.</t>
  </si>
  <si>
    <t>Enable AI and automation; Tender competitiveness</t>
  </si>
  <si>
    <t>PI-RTR-001 RTR Software Standardisation Exercise: May identify redundant tools and standard vendor capabilities that are currently underused, but does not directly provide training or drive user adoption of modern features.
PI-RTR-006 Software processes &amp; portal: Improved production-software support flows and employee software journeys can help users access current capabilities and support, but feature-specific competence development is not explicitly evidenced.</t>
  </si>
  <si>
    <t>ESP-S006 Teams-based product information and support channel (Denmark)
ESP-S011 Transport software standards portal and Teams communication channels (Finland)
ESP-S012 Super-user network and office roadshow support model (Finland)</t>
  </si>
  <si>
    <t>ESP-S006 Publishes tool tips, release information, product issues, and support guidance that can expose users to available functionality.
ESP-S011 Provides current software guidance, installation information, templates, and support routes through a shared portal and channels.
ESP-S012 Uses super-users and office outreach to explain expected ways of working, gather user needs, and reinforce practical adoption.</t>
  </si>
  <si>
    <t>WS1-P025</t>
  </si>
  <si>
    <t>Current commercial model acts as blocker to digital resources and innovation</t>
  </si>
  <si>
    <t>Due to lack of understanding clients often challenge hours required to discharge Digital Delivery Management or Digital Coordinator roles leaving insufficient budget. Additionally AI/automation solutions are often an investment of Ramboll without a mechanism (such as value-based pricing) to get this investment back meaning impact of business performance is large and will grow as AI/automation become more and more the norm.</t>
  </si>
  <si>
    <t>PI-RTR-007 Building our Project Management and Delivery department within Major Projects: Building a recognised delivery department may improve the organisational visibility and resourcing of specialist delivery roles, but the documented initiative does not establish changes to pricing or commercial models for digital roles and innovation.</t>
  </si>
  <si>
    <t>WS1-P010</t>
  </si>
  <si>
    <t>Knowledge management</t>
  </si>
  <si>
    <t>Weak change tracking in data-centric workflows</t>
  </si>
  <si>
    <t>Project teams managing data-centric workflows lack rigorous change tracking, validation, and change management when handling design data, requirements, and deliverables across multiple parties and tools. This results in chaotic updates, unvalidated changes propagating through projects, and reduced confidence in data quality and deliverables.</t>
  </si>
  <si>
    <t>Basic procedures exist for tracking changes to drawings and BIM models, but the process remains chaotic and lacks granularity. There is no rigorous way to track how data evolves, how changes are validated, or how changes are communicated to relevant parties, especially for design data, requirements, and attributes.</t>
  </si>
  <si>
    <t>PI-RTR-002 Unified Production Environment: Data governance and data-centric delivery support more controlled handling of project data, but the documented scope does not establish detailed change tracking, validation, and communication controls.
PI-RTR-003 Transforming Document Management: Redesigning document-management processes and implementing a fit-for-purpose document-management system directly address controlled revision and management of document-based changes, although not necessarily all data-centric changes across engineering tools.</t>
  </si>
  <si>
    <t>ESP-S026 ISO 19650-aligned ProjectWise deployment model (UK&amp;I)
ESP-S028 ProjectWise dashboards and Teams reporting (UK&amp;I)
ESP-S030 SPOT Workflow (Major Projects)</t>
  </si>
  <si>
    <t>ESP-S026 Applies controlled workflows for revision, review, and issue of deliverables within a managed environment.
ESP-S028 Exposes audit-trail, workflow, and file-activity information so project teams can identify changes and issues.
ESP-S030 Provides a shared data backbone with data modelling, quality assurance, standardised building blocks, and automated validation.</t>
  </si>
  <si>
    <t>WS1-P024</t>
  </si>
  <si>
    <t>Uneven digital-requirements competence</t>
  </si>
  <si>
    <t>Knowledge and competence related to digital requirements vary across disciplines and countries in Norwegian projects. Some disciplines are not always familiar with required formats, information content, or tools used for collaboration.</t>
  </si>
  <si>
    <t>PI-RTR-002 Unified Production Environment: Shared production knowledge and aligned platforms can reduce variation in digital-delivery competence, but a targeted competence programme for digital requirements is not explicitly evidenced.
PI-RTR-007 Building our Project Management and Delivery department within Major Projects: Building geographically distributed delivery capability can strengthen competence for reliable project delivery, but only partly addresses knowledge of digital formats, requirements, and collaboration tools.</t>
  </si>
  <si>
    <t>ESP-S005 CAD project manual and transport standards portal (Denmark)
ESP-S007 Client-led data management and modelling instruction model (Finland)
ESP-S011 Transport software standards portal and Teams communication channels (Finland)
ESP-S012 Super-user network and office roadshow support model (Finland)
ESP-S017 Project SharePoint/Teams information hub (Norway)
ESP-S023 Project Hub (SharePoint coordination layer) (Sweden)
ESP-S024 Early-phase digital delivery manager involvement (UK&amp;I)
ESP-S025 Digital fit assessment (UK&amp;I)</t>
  </si>
  <si>
    <t>ESP-S005 Makes required project setup, naming, formats, and discipline-output guidance available through one standards reference.
ESP-S007 Turns client modelling and data requirements into a documented project baseline that delivery teams can follow.
ESP-S011 Provides one place for current software, template, installation, and support guidance.
ESP-S012 Provides experienced local contacts who can explain standards and route questions to the relevant owners.
ESP-S017 Gives project members one entry point to project guidance, updates, systems, and digital-tool information.
ESP-S023 Supports onboarding and training in project procedures, folder structures, and ways of working.
ESP-S024 Brings digital-delivery expertise into the project when client requirements and setup decisions are being interpreted.
ESP-S025 Structures the assessment of digital context, complexity, standards gaps, and support needs.</t>
  </si>
  <si>
    <t>WS1-P005</t>
  </si>
  <si>
    <t>Client restrictions on AI and cross-border resources</t>
  </si>
  <si>
    <t>Clients restrict the use of AI and resources outside Finland because infrastructure data is considered critical and its use is defined by law. Much infrastructure data is confidential, restricting the use of REC and AI. Challenging design tasks therefore need to be completed by highly skilled Finnish staff.</t>
  </si>
  <si>
    <t>ESP-S007 Client-led data management and modelling instruction model (Finland)
ESP-S024 Early-phase digital delivery manager involvement (UK&amp;I)
ESP-S025 Digital fit assessment (UK&amp;I)
ESP-S026 ISO 19650-aligned ProjectWise deployment model (UK&amp;I)</t>
  </si>
  <si>
    <t>ESP-S007 Translates client, agency, system, and legal requirements into documented project data-management and modelling instructions.
ESP-S024 Brings digital expertise into tender review so client restrictions and digital requirements can be identified before mobilisation.
ESP-S025 Assesses the project's digital context, risks, standards gaps, and managed-environment needs before mobilisation.
ESP-S026 Provides controlled security and collaboration arrangements, including support for local compliance and data-location requirements.</t>
  </si>
  <si>
    <t>WS1-P021</t>
  </si>
  <si>
    <t>No path from prototype to managed product</t>
  </si>
  <si>
    <t>Citizen developers and teams that could benefit from their tools lack infrastructure and support to transition tools from idea or minimum viable product into properly documented, quality-assured, maintained, and owned products. When a project ends, developers have no time, mandate, or pathway to hand over tools, resulting in valuable tools being abandoned, stuck with reluctant owners, or never scaled beyond the original project.</t>
  </si>
  <si>
    <t>Citizen developers often build useful tools during projects, but once the project closes there is no time or structured process to document, quality-assure, release, and transfer ownership. Developers are reluctant to remain long-term owners because maintenance, tool responsibility, host patching, and bug fixing may fall outside their remit.</t>
  </si>
  <si>
    <t>PI-RTR-004 Enabling Citizen Development: Supported tooling, governance, and pilots can help citizen-developed solutions progress beyond individual experimentation, although a complete managed-product handover and ownership model is not evidenced.
PI-RTR-005 Script Sharing Platform rollout and scaling: Provides a live governed environment through which automation assets can be shared, reused, and scaled beyond their originating project, although full lifecycle ownership and maintenance are not explicitly evidenced.
PI-RTR-006 Software processes &amp; portal: Governance and request workflows may support the transition of tools into managed services, but the documented scope does not establish a full prototype-to-product lifecycle.</t>
  </si>
  <si>
    <t>WS1-P009</t>
  </si>
  <si>
    <t>Insufficient live project performance data</t>
  </si>
  <si>
    <t>Project managers, delivery teams, and tender teams lack structured key performance indicators directly connected to real project data generated during execution. This limits their ability to monitor efficiency, budget consumption, completeness, and performance in a live, data-driven way, resulting in limited visibility into project health and insufficient actionable evidence for decision-making and future tenders.</t>
  </si>
  <si>
    <t>Projects continuously generate data such as models, deliverables, hours, progress, budget consumption, and design iterations, but this data is not systematically linked to indicators that reflect project status and development. Project performance is therefore assessed anecdotally, and tender teams cannot draw on reliable quantitative benchmarks from past projects.</t>
  </si>
  <si>
    <t>ESP-S028 ProjectWise dashboards and Teams reporting (UK&amp;I)</t>
  </si>
  <si>
    <t>Not indicated</t>
  </si>
  <si>
    <t>ESP-S028 Makes system activity, workflow status, file activity, user information, and project-specific measures visible through operational dashboards and reporting.</t>
  </si>
  <si>
    <t>Existing local standards and practices</t>
  </si>
  <si>
    <t>Practice ID</t>
  </si>
  <si>
    <t>Derived problem ID</t>
  </si>
  <si>
    <t>Category</t>
  </si>
  <si>
    <t>Contact</t>
  </si>
  <si>
    <t>Practice title</t>
  </si>
  <si>
    <t>Unit using solution</t>
  </si>
  <si>
    <t>Loc. used</t>
  </si>
  <si>
    <t>Current Footprint</t>
  </si>
  <si>
    <t>Adoption (inferred)</t>
  </si>
  <si>
    <t>Maturity (inferred)</t>
  </si>
  <si>
    <t>Ownership (inferred)</t>
  </si>
  <si>
    <t>Cross-unit interest (validated)</t>
  </si>
  <si>
    <t>Scalability judgment (inferred)</t>
  </si>
  <si>
    <t>Unit relevance of problems solved (OAG WS 30.06.2026)</t>
  </si>
  <si>
    <t>In Top 5-10 of problems to solve for untis (OAG WS30.06.26)</t>
  </si>
  <si>
    <t>Unit_Relevance_Count_WS_06_2026</t>
  </si>
  <si>
    <t>Problem category(ies)</t>
  </si>
  <si>
    <t>How the existing solution solves problem(s)</t>
  </si>
  <si>
    <t>Value it appears to give</t>
  </si>
  <si>
    <t>Value it appears to give - Any other comments</t>
  </si>
  <si>
    <t>Adoption across relevant projects</t>
  </si>
  <si>
    <t>Adoption - Any other comments</t>
  </si>
  <si>
    <t>Maturity Status</t>
  </si>
  <si>
    <t>Maturity - Any other comments</t>
  </si>
  <si>
    <t>Ownership2</t>
  </si>
  <si>
    <t>Ownership - Any other comments</t>
  </si>
  <si>
    <t>Scaling Judgement</t>
  </si>
  <si>
    <t>Scaling Judgement in 04-26 workshop - Any other comments</t>
  </si>
  <si>
    <t>What does it consist of?</t>
  </si>
  <si>
    <t>What does it consist of? - Key tools involved</t>
  </si>
  <si>
    <t>What does it consist of? - Any other comments</t>
  </si>
  <si>
    <t>For which project types can it be valuable?</t>
  </si>
  <si>
    <t>In which project types is it valuable - Any other comments</t>
  </si>
  <si>
    <t>Assumptions on scalability (based on discussions and Miro) - Comments</t>
  </si>
  <si>
    <t>Where it could be useful</t>
  </si>
  <si>
    <t>Barriers/concerns</t>
  </si>
  <si>
    <t>Barriers/concerns - Any other comments</t>
  </si>
  <si>
    <t>Column1</t>
  </si>
  <si>
    <t>ESP-S001</t>
  </si>
  <si>
    <t>ESP-P001</t>
  </si>
  <si>
    <t>Governance</t>
  </si>
  <si>
    <t>Allan Rasmussen</t>
  </si>
  <si>
    <t>ProjectWise (CDE) manager governance model (Denmark)</t>
  </si>
  <si>
    <t>Denmark;#</t>
  </si>
  <si>
    <t>Denmark transport &amp; water projects, 66 local managers</t>
  </si>
  <si>
    <t>High</t>
  </si>
  <si>
    <t>High (inferred)</t>
  </si>
  <si>
    <t>Clear</t>
  </si>
  <si>
    <t>Sweden, UK&amp;I, Denmark, Major Projects</t>
  </si>
  <si>
    <t>Project startup is unclear/slow;#Inconsistent use of standards/templates;#Poor onboarding of new team members;#</t>
  </si>
  <si>
    <t>Without a qualified CDE manager supporting the project, it can start slowly and not following the current best practice or standard</t>
  </si>
  <si>
    <t>A named department PW manager is available for projects to support setup and access, and keeping the PW structure consistent across projects. PW manager model enables community and to support each other through vacation and alike off time.</t>
  </si>
  <si>
    <t>Faster / clearer project startup;#Better compliance / consistency;#Improved transparency for PMs / teams;#. Community enabels people to get assistance from other PW managers and Bentley team when needed (distributed knowledge).</t>
  </si>
  <si>
    <t>Projects get a consistent setup, and users know who owns access and day-to-day administration. Can get support form other PW Managers if in need.</t>
  </si>
  <si>
    <t>Used in most or nearly all relevant projects;#</t>
  </si>
  <si>
    <t>ProjectWise managers create projects directly and have overview of the projects.</t>
  </si>
  <si>
    <t>Ad hoc and operational;#</t>
  </si>
  <si>
    <t>Transcript says the model has been built on the same standard since 2011, works really well, and there are now 66 ProjectWise managers.</t>
  </si>
  <si>
    <t>Clear and role-based;#</t>
  </si>
  <si>
    <t>There are 66 local ProjectWise managers; they create projects, manage project access and keep the project overview, with the Denmark admin team supporting the model.</t>
  </si>
  <si>
    <t>Clearly worth deeper analysis;#</t>
  </si>
  <si>
    <t>Strong operational model with clear ownership and visible reuse potential across geographies.</t>
  </si>
  <si>
    <t>Process/way of working;#Role or governance model;#</t>
  </si>
  <si>
    <t>ProjectWise</t>
  </si>
  <si>
    <t>66 local ProjectWise managers create projects, manage access, and maintain project-level oversight using a shared standard and defined permission levels.</t>
  </si>
  <si>
    <t>All projects;#</t>
  </si>
  <si>
    <t>Miro feedback suggests this role-and-permission model could be useful beyond Denmark as part of a broader CDE standard.</t>
  </si>
  <si>
    <t>Global relevance flagged;#</t>
  </si>
  <si>
    <t>Resource/capacity constraints;#</t>
  </si>
  <si>
    <t>The model relies on trained local managers having time available alongside project work.</t>
  </si>
  <si>
    <t>Existing standards register_RTR Master.xlsx</t>
  </si>
  <si>
    <t>Existing practice register</t>
  </si>
  <si>
    <t>Existing practice</t>
  </si>
  <si>
    <t>ESP-S002</t>
  </si>
  <si>
    <t>ESP-P002</t>
  </si>
  <si>
    <t>ProjectWise manager guide and standards portal (Denmark)</t>
  </si>
  <si>
    <t>Denmark ProjectWise environments, all manager network</t>
  </si>
  <si>
    <t>Norway, Sweden, UK&amp;I, Major Projects</t>
  </si>
  <si>
    <t>Sweden</t>
  </si>
  <si>
    <t>Project teams rely on informal and individual knowledge when setting up the CDE, leading to waste of time in the start of the project and downstream efficiency and quality risks</t>
  </si>
  <si>
    <t>The guide standardises how PW managers create and support projects, and helps users find the right project contact quickly.</t>
  </si>
  <si>
    <t>Faster / clearer project startup;#Better compliance / consistency;#</t>
  </si>
  <si>
    <t>It reduces reliance on informal knowledge by documenting the setup steps and manager network in one place.</t>
  </si>
  <si>
    <t>The guide and portal are presented as the standard information source for ProjectWise managers.</t>
  </si>
  <si>
    <t>Robust;#</t>
  </si>
  <si>
    <t>The guide is described as not new, but still working really well and giving managers a good way to do it right.</t>
  </si>
  <si>
    <t>The guide was made by the Denmark ProjectWise admin team/colleagues and is used by local ProjectWise managers.</t>
  </si>
  <si>
    <t>Good candidate for reuse as a lightweight coordination layer around CDE standards.</t>
  </si>
  <si>
    <t>Templates/standards;#Process/way of working;#</t>
  </si>
  <si>
    <t>SharePoint, ProjectWise</t>
  </si>
  <si>
    <t>A portal page and guide give ProjectWise managers contact lists, step-by-step instructions, and standard setup guidance.</t>
  </si>
  <si>
    <t>All design projects;#</t>
  </si>
  <si>
    <t>Miro notes specifically highlighted the portal approach to standards, administrators, and training material as reusable.</t>
  </si>
  <si>
    <t>Adoption &amp; change resistance;#</t>
  </si>
  <si>
    <t>Scaling would require teams to keep the guidance current and use the shared portal rather than local workarounds.</t>
  </si>
  <si>
    <t>ESP-S003</t>
  </si>
  <si>
    <t>ESP-P003</t>
  </si>
  <si>
    <t>Production Environments &amp; Configurations</t>
  </si>
  <si>
    <t>ProjectWise for production - RAMDK (Denmark)</t>
  </si>
  <si>
    <t>Denmark transport &amp; water design</t>
  </si>
  <si>
    <t>Norway, Sweden, UK&amp;I, Denmark</t>
  </si>
  <si>
    <t>Denmark</t>
  </si>
  <si>
    <t>Inconsistent use of standards/templates;#External collaboration friction;#Poor onboarding of new team members;#</t>
  </si>
  <si>
    <t>Users struggle when CDEs are set up differently across projects</t>
  </si>
  <si>
    <t>Users see the same structure from project to project, and external access can be controlled through the defined setup. Recognisable structure and corresponding gides enables shared workforce engagement with limited need according to project introduction.</t>
  </si>
  <si>
    <t>Better compliance / consistency;#Easier collaboration externally;#Improved transparency for PMs / teams;#</t>
  </si>
  <si>
    <t>The Denmark team described it as mature and stable, with very few issues when projects follow the standard.</t>
  </si>
  <si>
    <t>Presented as the core production environment for Denmark transport &amp; water areas in ProjectWise. Energy GBA also use the PW environment at hig scale.</t>
  </si>
  <si>
    <t>The production environment started in 2011 and was described as working well, with very rare issues when the standard is followed.</t>
  </si>
  <si>
    <t>The Denmark ProjectWise production environment is run by the Denmark Bentley team responsible for the RAMDK environment.</t>
  </si>
  <si>
    <t>Established working model with strong practical evidence from Denmark.</t>
  </si>
  <si>
    <t>Platform setup (CDE, hub, workspace);#Templates/standards;#Role or governance model;#</t>
  </si>
  <si>
    <t>On-prem production environment in Copenhagen, in use since 2011, with standard project structures, permission groups, support for externals, and repeatable project creation.</t>
  </si>
  <si>
    <t>Miro notes highlighted standards implemented in the CDE and a standard way of managing CDEs and projects as having broader potential.</t>
  </si>
  <si>
    <t>Tool/platform dependencies;#</t>
  </si>
  <si>
    <t>Workshop discussion highlighted dependency on Bentley and Civil 3D integration, especially when new versions are released.</t>
  </si>
  <si>
    <t>ESP-S004</t>
  </si>
  <si>
    <t>ESP-P004</t>
  </si>
  <si>
    <t>Managed workspace in ProjectWise (Denmark)</t>
  </si>
  <si>
    <t>Denmark design projects using Bentley tools</t>
  </si>
  <si>
    <t>Medium</t>
  </si>
  <si>
    <t>Norway, Sweden, UK&amp;I</t>
  </si>
  <si>
    <t>Inconsistent use of standards/templates;#Shared workforce/cross-country delivery barriers;#</t>
  </si>
  <si>
    <t>It is cumbersome for users to apply the right tool configurations and templates for the project at hand, leading to time waste and quality issues</t>
  </si>
  <si>
    <t>It helps ensure the same tools and setup are available wherever the project is opened, including by colleagues in other locations. Recognisable structure between projects and guides enables faster and easier project onboarding</t>
  </si>
  <si>
    <t>Better compliance / consistency;#Enables sharing people across projects/countries;#</t>
  </si>
  <si>
    <t>The Denmark team described this as a key strength for consistent delivery and collaboration across locations.</t>
  </si>
  <si>
    <t>Used in many relevant projects;#</t>
  </si>
  <si>
    <t>The entire setup was described as being in ProjectWise so right tools are used when users open the project and files.</t>
  </si>
  <si>
    <t>Operational;#</t>
  </si>
  <si>
    <t>Managed workspace was described as one of the great strengths of the hosted environment and as the way their setup is delivered through ProjectWise.</t>
  </si>
  <si>
    <t>Exists but person dependent;#</t>
  </si>
  <si>
    <t>The Denmark team maintains the managed workspace content and project-specific setup delivered through ProjectWise.</t>
  </si>
  <si>
    <t>Strong candidate where common setup and workforce sharing are important.</t>
  </si>
  <si>
    <t>Platform setup (CDE, hub, workspace);#Templates/standards;#</t>
  </si>
  <si>
    <t>ProjectWise managed workspace, Bentley tools</t>
  </si>
  <si>
    <t>Tooling, menus, support files, and selected project-specific setup are delivered through the ProjectWise workspace so users opening the project get the relevant environment.</t>
  </si>
  <si>
    <t>Miro notes highlighted CDE standards and follow-up on similarities between ProjectWise setup and CAD menus as a scaling area.</t>
  </si>
  <si>
    <t>Scaling depends on reliable integrations and ongoing maintenance of the managed workspace content. Relies on close involvement and time from business side to ensure cross discipline coordination and alignemnt.</t>
  </si>
  <si>
    <t>ESP-S005</t>
  </si>
  <si>
    <t>ESP-P005</t>
  </si>
  <si>
    <t>Project Setup &amp; Coordination</t>
  </si>
  <si>
    <t>Jeppe Bæklund</t>
  </si>
  <si>
    <t>CAD project manual and transport standards portal (Denmark)</t>
  </si>
  <si>
    <t>Denmark transport projects, all disciplines</t>
  </si>
  <si>
    <t>Norway, Sweden, UK&amp;I, Denmark, Major Projects</t>
  </si>
  <si>
    <t>UK&amp;I, Denmark</t>
  </si>
  <si>
    <t>Projects and users lose time and consistency when there is no CAD/BIM standards or it is difficult to find the correct ones. Projects and users lose time and consistency when there no sufficiently experienced person in place to create/provide CAD/BIM standards meaning project standards are not in place.</t>
  </si>
  <si>
    <t>The portal provides one reference point for how projects should be set up and how discipline outputs should be structured.</t>
  </si>
  <si>
    <t>Projects can state that they follow the standard setup, then only document exceptions where needed.</t>
  </si>
  <si>
    <t>The manual and portal were described as the reference point for how projects should be set up.</t>
  </si>
  <si>
    <t>Every project is expected to have a CAD project manual, supported by the transport standards portal.</t>
  </si>
  <si>
    <t>The transport portal/standards content sits with a BIM team inside the Danish transport organisation.</t>
  </si>
  <si>
    <t>Useful model for project setup guidance, but would benefit from stronger communication and maintenance.</t>
  </si>
  <si>
    <t>SharePoint</t>
  </si>
  <si>
    <t>Projects are expected to use a CAD project manual, supported by a transport portal with standards, naming, coordinate systems, drawing setup, and client-specific guidance.</t>
  </si>
  <si>
    <t>Miro notes highlighted the portal approach as reusable and also noted Denmark still lacks a fully standard good way of distributing product information.</t>
  </si>
  <si>
    <t>The workshop noted that communication and distribution of product information is still an area to improve.</t>
  </si>
  <si>
    <t>ESP-S006</t>
  </si>
  <si>
    <t>ESP-P006</t>
  </si>
  <si>
    <t>Teams-based product information and support channel (Denmark)</t>
  </si>
  <si>
    <t>Denmark transport tool users</t>
  </si>
  <si>
    <t>Low</t>
  </si>
  <si>
    <t>Finland, Sweden, UK&amp;I, Major Projects</t>
  </si>
  <si>
    <t>Finland</t>
  </si>
  <si>
    <t>Poor onboarding of new team members;#Inconsistent use of standards/templates;#</t>
  </si>
  <si>
    <t>Users miss important tool updates and support guidance when there is not a formal single source of truth information channel for the tool</t>
  </si>
  <si>
    <t>It gives users a visible place to find updates and communicate around tools and ways of working.</t>
  </si>
  <si>
    <t>Improved transparency for PMs / teams;#</t>
  </si>
  <si>
    <t>The team described communication as an ongoing challenge, but the Teams channel is one of the current mechanisms for reaching users.</t>
  </si>
  <si>
    <t>The channel is one of the current mechanisms for product information, but communication was described as an area still being worked on.</t>
  </si>
  <si>
    <t>Developing;#</t>
  </si>
  <si>
    <t>The Teams channel is in use, but the team also said they are still struggling with how to communicate updates broadly.</t>
  </si>
  <si>
    <t>Potential, but needs clarification;#</t>
  </si>
  <si>
    <t>Promising support layer, though the workshop noted Denmark still can optimise areas to accomodate fully standard way of distributing product information.</t>
  </si>
  <si>
    <t>Process/way of working;#Templates/standards;#</t>
  </si>
  <si>
    <t>Microsoft Teams</t>
  </si>
  <si>
    <t>A Teams channel is used to publish updates, tips and tricks, release information, product issues, and support guidance for transport tools.</t>
  </si>
  <si>
    <t>Miro feedback suggests the communication and portal pattern has reuse potential, but adoption depends on people actively using the channel.</t>
  </si>
  <si>
    <t>Value depends on users checking the channel and on teams having a clear communications model.</t>
  </si>
  <si>
    <t>ESP-S007</t>
  </si>
  <si>
    <t>ESP-P007</t>
  </si>
  <si>
    <t>Client-led data management and modelling instruction model (Finland)</t>
  </si>
  <si>
    <t>Finland;#</t>
  </si>
  <si>
    <t>Finland major transport projects with clients</t>
  </si>
  <si>
    <t>Partly clear</t>
  </si>
  <si>
    <t>Finland, Norway, Sweden, UK&amp;I, Denmark, Major Projects</t>
  </si>
  <si>
    <t>Finland, Norway, UK&amp;I</t>
  </si>
  <si>
    <t>Inconsistent use of standards/templates;#Poor onboarding of new team members;#</t>
  </si>
  <si>
    <t>Teams risk inconsistent data delivery when client modelling requirements are interpreted differently or not translated into clear project setup rules.</t>
  </si>
  <si>
    <t>Client instructions and project data-management plans give projects a defined baseline for setup, naming, deliverables, and modelling expectations. Clients have their standards documented.</t>
  </si>
  <si>
    <t>Better compliance / consistency;#</t>
  </si>
  <si>
    <t>It creates a common minimum standard on projects even though requirements vary by client and project type.</t>
  </si>
  <si>
    <t>Described as the baseline approach on major transport projects, though requirements vary by client. Clients require the use of their standards.</t>
  </si>
  <si>
    <t>Projects follow client and agency instructions, but the transcript also indicates requirements vary by client and project type, so ownership and support are not yet consistent enough to call this fully operational.</t>
  </si>
  <si>
    <t>Strong as a governance pattern, but not yet a directly portable standard without simplification. Standards have ideas that can be scaled, but standards are tied to clients own systems and Finnish law.</t>
  </si>
  <si>
    <t>SharePoint, client data management plans</t>
  </si>
  <si>
    <t>Major transport projects follow client and agency modelling/data-management instructions, and project documentation records how data should be structured and delivered.</t>
  </si>
  <si>
    <t>Specific project types;#</t>
  </si>
  <si>
    <t>Major transport projects</t>
  </si>
  <si>
    <t>Reuse outside Finland is possible at the pattern level, but Miro feedback and the workshop both suggest client-specific variation is a major limiter unless the core common elements are separated from local requirements.</t>
  </si>
  <si>
    <t>Governance/ownership unclear;#Local regulations/client constraints;#</t>
  </si>
  <si>
    <t>Ownership is split across clients, project teams, and discipline leads, and client-specific requirements can materially change the setup.</t>
  </si>
  <si>
    <t>ESP-S008</t>
  </si>
  <si>
    <t>ESP-P008</t>
  </si>
  <si>
    <t>Quadri / Trimble Connect project environment (Finland)</t>
  </si>
  <si>
    <t>Finland transport infrastructure projects</t>
  </si>
  <si>
    <t>Finland, Norway, Major Projects</t>
  </si>
  <si>
    <t>Shared delivery is difficult when project environments vary by client, complexity and who sets them up, even when the same core tools are used.</t>
  </si>
  <si>
    <t>The environment gives projects a repeatable structure, but setup still varies with client requirements, project complexity, and who is doing the setup.</t>
  </si>
  <si>
    <t>A shared environment and standard base structure make it easier for multiple teams to work in the same project context.</t>
  </si>
  <si>
    <t>Presented as a common structured project environment in Finland transport projects.</t>
  </si>
  <si>
    <t>Projects are commonly created through a service request for Quadri / Trimble Connect.</t>
  </si>
  <si>
    <t>The project manager orders the project, then setup is commonly delegated to the BIM coordinator or project assistant; they order the Quadri project and handle the real folder setup.</t>
  </si>
  <si>
    <t>Promising operational model, though still closely tied to the current Finland toolchain.</t>
  </si>
  <si>
    <t>Quadri, Trimble Connect, ServiceNow</t>
  </si>
  <si>
    <t>Projects are commonly created through a service request, with folder structures, naming, and base setup coming from Finnish configuration and customer-specific requirements.</t>
  </si>
  <si>
    <t>This looks scalable where other countries need a structured infra design environment, but the Miro discussion suggests broader rollout would need stronger support and clearer handling of the choose-best-tool tension.</t>
  </si>
  <si>
    <t>Scaling depends on Trimble/Quadri tooling, Finnish-specific setup conventions, and support capability across teams and geographies.</t>
  </si>
  <si>
    <t>ESP-S009</t>
  </si>
  <si>
    <t>ESP-P009</t>
  </si>
  <si>
    <t>Finnish configuration packages for design tools (Finland)</t>
  </si>
  <si>
    <t>Finland design projects, fragmented adoption</t>
  </si>
  <si>
    <t>Finland, Norway, Sweden, UK&amp;I, Major Projects</t>
  </si>
  <si>
    <t>Major Projects</t>
  </si>
  <si>
    <t>Projects waste time and struggle with inconsistency when there is not a standard package of tools and tool configurations, and users apply configurations stored locally on their computer</t>
  </si>
  <si>
    <t>The configuration gives designers a starting point, but discipline-specific variations and locally hidden templates still create inconsistency.</t>
  </si>
  <si>
    <t>Better compliance / consistency;#Faster / clearer project startup;#</t>
  </si>
  <si>
    <t>Where the package is maintained and used properly, it reduces manual setup and gives teams a more repeatable starting point.</t>
  </si>
  <si>
    <t>Used in some relevant projects;#</t>
  </si>
  <si>
    <t>Teams are trying to use existing configurations as much as possible, but the approach was described as fragmented.</t>
  </si>
  <si>
    <t>Configurations exist and are used, but fragmented ownership, hidden templates, and manual tweaking were all discussed.</t>
  </si>
  <si>
    <t>Tool administrators such as Timo and Aleksi maintain and publish configurations, super-users are the main contacts, and Arkance provides support/training and some tool packages.</t>
  </si>
  <si>
    <t>Valuable core capability, but the current governance model is not yet strong enough for easy reuse at scale.</t>
  </si>
  <si>
    <t>Templates/standards;#Platform setup (CDE, hub, workspace);#</t>
  </si>
  <si>
    <t>Novapoint, AutoCAD Map 3D, Civil 3D, Arkance tools, 3D-Win</t>
  </si>
  <si>
    <t>Finnish configurations package templates, naming, drawings, client definitions, and support files into the installed tool setup, although some manual tweaking is still often required.</t>
  </si>
  <si>
    <t>Miro notes highlighted the broader challenge of standardising while still allowing teams to choose the best tool, so scaling this approach likely requires stronger central ownership of shared configurations.</t>
  </si>
  <si>
    <t>Governance/ownership unclear;#Conflicts with “choose best tool” principle;#</t>
  </si>
  <si>
    <t>The workshop described fragmented ownership, locally held templates, and mixed-tool working as key barriers to consistent deployment.</t>
  </si>
  <si>
    <t>ESP-S010</t>
  </si>
  <si>
    <t>ESP-P010</t>
  </si>
  <si>
    <t>Forma pilot with discipline templates (Finland)</t>
  </si>
  <si>
    <t>Finland railway &amp; highway projects, pilot phase</t>
  </si>
  <si>
    <t>Finland, Norway, Sweden, UK&amp;I, Denmark</t>
  </si>
  <si>
    <t>Project startup is unclear/slow;#Inconsistent use of standards/templates;#</t>
  </si>
  <si>
    <t>New projects take longer to mobilise when disciplines lack standard or have incomplete project templates</t>
  </si>
  <si>
    <t>The pilot is intended to make project creation more standardised and easier to connect with the broader Finland setup approach.</t>
  </si>
  <si>
    <t>The workshop described Forma as a potential turning point for reducing variation, but it is still early and benefits have not yet been proven in live delivery at scale.</t>
  </si>
  <si>
    <t>Used in a small minority of relevant projects;#</t>
  </si>
  <si>
    <t>Discipline templates exist, but the solution was explicitly presented as a pilot.</t>
  </si>
  <si>
    <t>Forma was described as being piloted, with piloting starting next week or shortly after.</t>
  </si>
  <si>
    <t>Timo and Aleksi are owners of the Finnish templates, Disciplines themselves define how the template should be configurated.</t>
  </si>
  <si>
    <t>Interesting strategic direction, but less proven than the existing Finland setup practices.</t>
  </si>
  <si>
    <t>Forma, ACC</t>
  </si>
  <si>
    <t>Forma is being piloted, with home templates already prepared for railway and highway projects and an ambition to add client-specific templates over time.</t>
  </si>
  <si>
    <t>Railway and highway projects</t>
  </si>
  <si>
    <t>The discussion suggests clear potential if the pilot matures, but there is not yet enough evidence to treat it as an established Finland standard.</t>
  </si>
  <si>
    <t>Mixed/unclear signals;#</t>
  </si>
  <si>
    <t>Tool/platform dependencies;#Adoption &amp; change resistance;#</t>
  </si>
  <si>
    <t>It is still early, and success will depend on implementation effort, user uptake, and how well Forma fits alongside existing Finland tools and client constraints.</t>
  </si>
  <si>
    <t>ESP-S011</t>
  </si>
  <si>
    <t>ESP-P011</t>
  </si>
  <si>
    <t>Transport software standards portal and Teams communication channels (Finland)</t>
  </si>
  <si>
    <t>Finland transport software users nationwide</t>
  </si>
  <si>
    <t>Finland, Norway, Sweden, UK&amp;I</t>
  </si>
  <si>
    <t>People struggle to find and trust the latest software and standards guidance if there is not a trusted single source of truth information channel for it</t>
  </si>
  <si>
    <t>It gives users one place to look for current guidance and a visible route for software communication and support.</t>
  </si>
  <si>
    <t>Improved transparency for PMs / teams;#Better compliance / consistency;#</t>
  </si>
  <si>
    <t>The portal reduces ambiguity about where to find instructions, and the Teams channel helps distribute current information quickly.</t>
  </si>
  <si>
    <t>The software site was described as the one place users should go for software information and guidance.</t>
  </si>
  <si>
    <t>Finland has a transport software SharePoint site and Teams channels in use now, with the site upgraded recently.</t>
  </si>
  <si>
    <t>Timo and Aleksi are owners of the Finland transport software SharePoint/Teams site. Superusers are producing the material</t>
  </si>
  <si>
    <t>Strong practical candidate for reuse as a lightweight communication and standards layer.</t>
  </si>
  <si>
    <t>SharePoint, Microsoft Teams</t>
  </si>
  <si>
    <t>Finland transport uses a SharePoint site for software guidance, templates, installation instructions, and support services, while Teams channels are used for updates such as outages and release information.</t>
  </si>
  <si>
    <t>Miro feedback pointed to the importance of formal information channels and clearer responsibility on users to stay informed, suggesting this pattern has wider relevance if it is actively maintained.</t>
  </si>
  <si>
    <t>The model only works if users know it exists, trust it as the single source of truth, and are expected to use it rather than local copies and side channels.</t>
  </si>
  <si>
    <t>ESP-S012</t>
  </si>
  <si>
    <t>ESP-P012</t>
  </si>
  <si>
    <t>Super-user network and office roadshow support model (Finland)</t>
  </si>
  <si>
    <t>Finland offices using tool configurations</t>
  </si>
  <si>
    <t>Sweden, UK&amp;I</t>
  </si>
  <si>
    <t>Standards do not stick and improve when there are no local go-to people / superusers to ask for guidance and who can route feedback to the relevant owners. Standards do not stick and improve when there are no sufficiently experienced local go-to people / superusers to ask for guidance and who can route feedback to the relevant owners in an understandable way.</t>
  </si>
  <si>
    <t>The model helps surface local issues, spread updates, and reinforce expected ways of working in a fragmented environment.</t>
  </si>
  <si>
    <t>Better compliance / consistency;#Improved transparency for PMs / teams;#</t>
  </si>
  <si>
    <t>This is one of the ways Finland keeps standards alive in practice, especially where passive communications alone are not enough.</t>
  </si>
  <si>
    <t>The model is active today, with visits to offices and use of super-users as the virtual team.</t>
  </si>
  <si>
    <t>They described yearly roadshows and super-users as the main contacts for maintaining and improving standards.</t>
  </si>
  <si>
    <t>Super-users are the main contacts for the support admins when configurations and standards need maintenance.</t>
  </si>
  <si>
    <t>Useful change-enablement model, though hard to scale without dedicated capacity.</t>
  </si>
  <si>
    <t>SharePoint, super-user network, office roadshows</t>
  </si>
  <si>
    <t>Support admins use super users as their main contacts, visit offices, and gather updates and pain points directly from teams to improve standards and guidance.</t>
  </si>
  <si>
    <t>The workshop and Miro comments both point to change management as a core challenge, so this support model could be useful elsewhere where communication and adoption are the real bottlenecks.</t>
  </si>
  <si>
    <t>Resource/capacity constraints;#Adoption &amp; change resistance;#</t>
  </si>
  <si>
    <t>Its effectiveness depends heavily on a small number of people having time to do outreach, follow-up, and continuous support.</t>
  </si>
  <si>
    <t>ESP-S013</t>
  </si>
  <si>
    <t>ESP-P013</t>
  </si>
  <si>
    <t>Integrated multi-platform project environment (Norway)</t>
  </si>
  <si>
    <t>Norway;#</t>
  </si>
  <si>
    <t>Norway major rail &amp; highway infrastructure</t>
  </si>
  <si>
    <t>Norway, UK&amp;I, Denmark, Major Projects</t>
  </si>
  <si>
    <t>Shared workforce/cross-country delivery barriers;#External collaboration friction;#Inconsistent use of standards/templates;#</t>
  </si>
  <si>
    <t>Lack of standardised connected ecosystems of design tools, CDEs, issue mgmt and client platforms, required for complex projects createa s slow and costly process for setting up the project production environment</t>
  </si>
  <si>
    <t>The setup supports high-trust collaboration with clients and contractors, but the overall ecosystem is complex and varies by project and client.</t>
  </si>
  <si>
    <t>Enables sharing people across projects/countries;#Easier collaboration externally;#Improved transparency for PMs / teams;#</t>
  </si>
  <si>
    <t>The Norway team described this as the practical way they keep multi-platform major projects working across internal and external parties.</t>
  </si>
  <si>
    <t>Presented as the common model for major Norwegian rail and highway projects.</t>
  </si>
  <si>
    <t>Used on major projects, but the transcript describes a complex multi-platform setup that depends heavily on dedicated digital project role resources bridging systems, so it is not yet a low-friction standard model.</t>
  </si>
  <si>
    <t>The major Norwegian projects have dedicated full-time BIM resources / a BIM group handling much of the digital infrastructure between systems.</t>
  </si>
  <si>
    <t>Strong example of a real multi-platform delivery model, but not a lightweight one to replicate.</t>
  </si>
  <si>
    <t>Platform setup (CDE, hub, workspace);#Process/way of working;#</t>
  </si>
  <si>
    <t>ProjectWise, ACC, Trimble Connect, Azure, Jira, ArcGIS</t>
  </si>
  <si>
    <t>Major Norwegian rail and highway projects use a connected setup across several platforms, with BIM resources bridging the gaps between design tools, CDEs, issue management, and stakeholder collaboration.</t>
  </si>
  <si>
    <t>Major rail and highway projects</t>
  </si>
  <si>
    <t>The workshop showed this as an effective operating pattern for complex projects, but scaling it more widely would require stronger standardisation across tools, clients, and startup practices.</t>
  </si>
  <si>
    <t>Tool/platform dependencies;#Local regulations/client constraints;#</t>
  </si>
  <si>
    <t>The model depends on several connected platforms and on client-specific ways of working, especially in major infrastructure projects.</t>
  </si>
  <si>
    <t>Under revision</t>
  </si>
  <si>
    <t>ESP-S014</t>
  </si>
  <si>
    <t>ESP-P014</t>
  </si>
  <si>
    <t>BIMbot model exchange and automation layer (Norway)</t>
  </si>
  <si>
    <t>Norway major projects across multiple platforms</t>
  </si>
  <si>
    <t>Norway, Denmark</t>
  </si>
  <si>
    <t>Shared workforce/cross-country delivery barriers;#Inconsistent use of standards/templates;#Poor onboarding of new team members;#</t>
  </si>
  <si>
    <t>Projects waste effort and risk outdated design models when interdisciplinary model exchanges still depend on manual exporting, importing and checking between platforms</t>
  </si>
  <si>
    <t>It was created to reduce manual exports and imports between tools and to keep live interdisciplinary models available to teams.</t>
  </si>
  <si>
    <t>Enables sharing people across projects/countries;#Better compliance / consistency;#Improved transparency for PMs / teams;#</t>
  </si>
  <si>
    <t>The automation gives teams updated model information across platforms and reduces repetitive manual coordination work.</t>
  </si>
  <si>
    <t>It was presented as the automation layer used to move models and files between platforms in major projects.</t>
  </si>
  <si>
    <t>BIMbot has been in place for years and now connects several platforms automatically.</t>
  </si>
  <si>
    <t>One of the clearest Norway candidates for wider reuse because it solves a recurring cross-platform problem.</t>
  </si>
  <si>
    <t>Automation/dashboard;#Platform setup (CDE, hub, workspace);#</t>
  </si>
  <si>
    <t>BIMbot, ProjectWise, ACC, Trimble Connect, SharePoint, Teams</t>
  </si>
  <si>
    <t>BIMbot moves files automatically between platforms and can also extract, merge, split, and check IFC data, helping disciplines receive updated models without manual file handling.</t>
  </si>
  <si>
    <t>Major projects</t>
  </si>
  <si>
    <t>Miro feedback explicitly flagged BIMbot as scalable, including as a broader tool for exporting, checking, and handling IFCs from design tools.</t>
  </si>
  <si>
    <t>Tool/platform dependencies;#Resource/capacity constraints;#</t>
  </si>
  <si>
    <t>Scaling depends on automation ownership, maintenance capacity, and stable integrations across the connected platforms.</t>
  </si>
  <si>
    <t>ESP-S015</t>
  </si>
  <si>
    <t>ESP-P015</t>
  </si>
  <si>
    <t>Model Maturity Index (MMI) and property set standard (Norway)</t>
  </si>
  <si>
    <t>Norway rail &amp; highway model-based delivery</t>
  </si>
  <si>
    <t>Inconsistent use of standards/templates;#External collaboration friction;#</t>
  </si>
  <si>
    <t>Lack of confidence and trust in the design models readiness for supporting the intended project decisions, use cases and delivery is unclear across the phases of design maturation</t>
  </si>
  <si>
    <t>The matrix makes model readiness clearer for clients and other disciplines, while giving a more contractual definition of what to expect at each stage.</t>
  </si>
  <si>
    <t>The team described this as a practical way to clarify maturity, readiness, and information expectations in model-based delivery.</t>
  </si>
  <si>
    <t>It was described as becoming part of the contract in projects where it is used.</t>
  </si>
  <si>
    <t>Norway uses an MMI approach and has supplemented it with property sets and concrete matrices in projects.</t>
  </si>
  <si>
    <t>Strong candidate for reuse because it addresses a common ambiguity in model-based projects: what a model is actually ready for.</t>
  </si>
  <si>
    <t>MMI matrix, IFC property sets, discipline model standards</t>
  </si>
  <si>
    <t>Norway uses an MMI approach to define what each discipline model can be used for at each stage, combined with structured property sets that specify what information should be populated.</t>
  </si>
  <si>
    <t>Rail and highway projects</t>
  </si>
  <si>
    <t>Miro notes specifically highlighted MMI and IFC 4x3 property-set know-how as reusable, especially for other geographies developing stronger model-based delivery standards.</t>
  </si>
  <si>
    <t>Adoption &amp; change resistance;#Governance/ownership unclear;#</t>
  </si>
  <si>
    <t>Value depends on consistent discipline use, shared understanding of the maturity definitions, and agreement on common property structures.</t>
  </si>
  <si>
    <t>ESP-S016</t>
  </si>
  <si>
    <t>ESP-P016</t>
  </si>
  <si>
    <t>Project onboarding form and access workflow (Norway)</t>
  </si>
  <si>
    <t>Norway major and complex multi-tool projects</t>
  </si>
  <si>
    <t>Norway, Sweden</t>
  </si>
  <si>
    <t>Project startup is unclear/slow;#Poor onboarding of new team members;#External collaboration friction;#</t>
  </si>
  <si>
    <t>Project onboarding is slow and hard to track when user access, approvals and offboarding are handled through ad hoc email chains and teams chats</t>
  </si>
  <si>
    <t>The workflow replaces ad hoc email chains and gives projects a clearer, traceable onboarding process across multiple tools.</t>
  </si>
  <si>
    <t>Faster / clearer project startup;#Improved transparency for PMs / teams;#</t>
  </si>
  <si>
    <t>The team described it as a major improvement in larger projects where many users, externals, and tools need coordinated access.</t>
  </si>
  <si>
    <t>The team said it is used in all big projects and in quite a lot of other projects as well.</t>
  </si>
  <si>
    <t>The workflow is already used in all big projects and now in quite a lot of other projects as well.</t>
  </si>
  <si>
    <t>The project leader approves onboarding requests, tool admins grant access, and Andreas said he is still the main resource setting the solution up and usually the owner of it.</t>
  </si>
  <si>
    <t>Very promising candidate for reuse because it solves a common startup pain point with relatively familiar Microsoft tooling.</t>
  </si>
  <si>
    <t>Process/way of working;#Automation/dashboard;#</t>
  </si>
  <si>
    <t>Microsoft Forms, Power Automate, SharePoint lists, Teams</t>
  </si>
  <si>
    <t>A project onboarding workflow lets project teams request users, approvals, and tool access through one process, with automated routing to project leaders and tool admins and support for offboarding dates.</t>
  </si>
  <si>
    <t>Major / highly complex projects</t>
  </si>
  <si>
    <t>Miro feedback explicitly highlighted the project onboarding form as having scaling potential globally and for Finland follow-up.</t>
  </si>
  <si>
    <t>Resource/capacity constraints;#Governance/ownership unclear;#</t>
  </si>
  <si>
    <t>The current setup works well but is still dependent on a small number of people and was not originally built as a fully scalable enterprise solution.</t>
  </si>
  <si>
    <t>ESP-S017</t>
  </si>
  <si>
    <t>ESP-P017</t>
  </si>
  <si>
    <t>Project SharePoint/Teams information hub (Norway)</t>
  </si>
  <si>
    <t>Norway major and complex project teams</t>
  </si>
  <si>
    <t>Poor onboarding of new team members;#Project startup is unclear/slow;#</t>
  </si>
  <si>
    <t>New and existing team members lose time finding correct up-to-date project information when key links, guidance, updates and info on digital tools are scattered across project documents and storage</t>
  </si>
  <si>
    <t>The hub gives project members one visible entry point into a complicated multi-system project setup.</t>
  </si>
  <si>
    <t>Improved transparency for PMs / teams;#Faster / clearer project startup;#</t>
  </si>
  <si>
    <t>This was presented as a practical support layer around the project systems rather than a production environment itself.</t>
  </si>
  <si>
    <t>Presented as a lightweight but common project support layer around the main systems.</t>
  </si>
  <si>
    <t>The hub is used in many projects, but the transcript presents it mainly as a lightweight support layer rather than a strongly governed, fully standardised operating model.</t>
  </si>
  <si>
    <t>Useful enabling pattern, especially where projects span many tools and organisations.</t>
  </si>
  <si>
    <t>Projects often use a SharePoint page surfaced through Teams as a one-stop place for key project links, news, progress information, and access to the main digital tools and project guidance.</t>
  </si>
  <si>
    <t>The pattern aligns closely with Miro feedback from other countries about project hubs and is likely reusable where teams need a lightweight orientation and communication layer.</t>
  </si>
  <si>
    <t>Its value depends on teams keeping the page current and using it as the shared reference point rather than relying on side channels.</t>
  </si>
  <si>
    <t>ESP-S018</t>
  </si>
  <si>
    <t>ESP-P018</t>
  </si>
  <si>
    <t>Asset coding and IFC 4x3 delivery pattern (Norway)</t>
  </si>
  <si>
    <t>Norway road projects advancing asset delivery</t>
  </si>
  <si>
    <t>Finland, Norway, Sweden, Major Projects</t>
  </si>
  <si>
    <t>Model-based project use cases and handover are harder when asset information are not coded and structured consistently, e.g. based on open standards like IFC 4x3 and applying standardised asset object coding</t>
  </si>
  <si>
    <t>This supports more model-based delivery and clearer handover into client systems, but it increases standardisation demands on disciplines.</t>
  </si>
  <si>
    <t>The Norway team described this as an important direction of travel, especially where clients are maturing toward model-based and asset-oriented delivery.</t>
  </si>
  <si>
    <t>The approach is advancing, but they also said it is still difficult and time-consuming to implement.</t>
  </si>
  <si>
    <t>They said clients are doing more and more with object codes and asset-management style delivery, and Ramboll is getting closer on a couple of roads.</t>
  </si>
  <si>
    <t>For now, the BIM team handles much of the coding work for asset coding / IFC 4x3 delivery.</t>
  </si>
  <si>
    <t>Important strategic practice, though likely harder to scale quickly than the more lightweight support patterns.</t>
  </si>
  <si>
    <t>IFC 4x3, asset codes, client asset-management structures</t>
  </si>
  <si>
    <t>Norwegian projects are moving toward model deliveries where each object carries structured codes and properties so the model can connect more directly into downstream asset-management processes.</t>
  </si>
  <si>
    <t>Road projects</t>
  </si>
  <si>
    <t>Miro notes highlighted knowledge around IFC 4x3 property sets as reusable, but the overall approach still appears more specialised than the onboarding and automation examples.</t>
  </si>
  <si>
    <t>Flagged for specific countries;#</t>
  </si>
  <si>
    <t>Local regulations/client constraints;#Tool/platform dependencies;#</t>
  </si>
  <si>
    <t>The approach is heavily influenced by client requirements, coding standards, and the maturity of the receiving asset-management environment.</t>
  </si>
  <si>
    <t>ESP-S019</t>
  </si>
  <si>
    <t>ESP-P019</t>
  </si>
  <si>
    <t>Jakob Holmquist</t>
  </si>
  <si>
    <t>CAD Configuration / Configuration Switch (Sweden)</t>
  </si>
  <si>
    <t>Sweden;#</t>
  </si>
  <si>
    <t>Sweden transport design projects</t>
  </si>
  <si>
    <t>Inconsistent use of standards/templates;#</t>
  </si>
  <si>
    <t>Projects risk inconsistent CAD outputs and spend manual effort to find and adopt official/standard tool configurations and templates</t>
  </si>
  <si>
    <t>Supports consistent deployment of CAD configuration/templates to projects.</t>
  </si>
  <si>
    <t>All configs and templates collected in the software and not in different libraries.</t>
  </si>
  <si>
    <t>It was presented as the developed mechanism for templates and setup in Swedish projects.</t>
  </si>
  <si>
    <t>The configuration switch is the current Swedish deployment mechanism, but the transcript does not clearly evidence a mature governance, support, and maintenance model behind it.</t>
  </si>
  <si>
    <t>Central administration run by Jakob Holmquist with redundancy in Simon Eriksson. Technical networks to provide relevant templates.</t>
  </si>
  <si>
    <t>Could be owned globally by the Autodesk team</t>
  </si>
  <si>
    <t>Configuration switch</t>
  </si>
  <si>
    <t>Configuration mechanism used to deploy and access templates and setups.</t>
  </si>
  <si>
    <t>Miro signals: Request process suggested as scalable.</t>
  </si>
  <si>
    <t>ESP-S020</t>
  </si>
  <si>
    <t>ESP-P020</t>
  </si>
  <si>
    <t>Johan Fäldt</t>
  </si>
  <si>
    <t>Metadata and Naming + Managed Workspaces (Sweden)</t>
  </si>
  <si>
    <t>Sweden rail projects using ProjectWise</t>
  </si>
  <si>
    <t>Finland, Sweden, UK&amp;I, Denmark, Major Projects</t>
  </si>
  <si>
    <t>Finland, Major Projects</t>
  </si>
  <si>
    <t>CDE environments become harder to search, manage and reuse when metadata, naming and workspace setup are not standardised.</t>
  </si>
  <si>
    <t>Standardises naming and workspace setup within ProjectWise.</t>
  </si>
  <si>
    <t>Presented as part of the standard ProjectWise setup used primarily on rail projects.</t>
  </si>
  <si>
    <t>The transcript confirms Sweden uses metadata, naming, and managed workspaces in ProjectWise, but does not clearly show stable ownership, support, and repeatability beyond current practice.</t>
  </si>
  <si>
    <t>Use of metadata, naming conventions, and managed workspaces in ProjectWise environments.</t>
  </si>
  <si>
    <t>Rail projects</t>
  </si>
  <si>
    <t>Miro signals: Managed workspaces highlighted as reusable setup practice. Metadata raised as important to scale.</t>
  </si>
  <si>
    <t>ESP-S021</t>
  </si>
  <si>
    <t>ESP-P021</t>
  </si>
  <si>
    <t>Samuel Wiklund</t>
  </si>
  <si>
    <t>ProjectWise (Rail Projects) (Sweden)</t>
  </si>
  <si>
    <t>Sweden rail projects including major ones</t>
  </si>
  <si>
    <t>External collaboration friction;#</t>
  </si>
  <si>
    <t>Rail projects need controlled collaboration spaces; without them, external access, compliance and delivery coordination become harder to manage.</t>
  </si>
  <si>
    <t>Provides controlled production environment for rail project delivery.</t>
  </si>
  <si>
    <t>Better compliance/consistency;#Easier collaboration externally;#</t>
  </si>
  <si>
    <t>ProjectWise was described as the primary environment for Swedish rail projects, including major projects.</t>
  </si>
  <si>
    <t>ProjectWise is used mainly for rail projects, including major ones, but the transcript gives limited evidence of the broader governance and support model needed for a higher maturity rating.</t>
  </si>
  <si>
    <t>Platform setup (CDE, hub, workspace);#</t>
  </si>
  <si>
    <t>ProjectWise primarily used for rail projects, including major projects.</t>
  </si>
  <si>
    <t>No scalability notes captured (please complete).</t>
  </si>
  <si>
    <t>ESP-S022</t>
  </si>
  <si>
    <t>ESP-P022</t>
  </si>
  <si>
    <t>Joachim Schönström</t>
  </si>
  <si>
    <t>Opt-in model via project support SharePoint page (Sweden)</t>
  </si>
  <si>
    <t>Sweden major and multi-disciplinary projects</t>
  </si>
  <si>
    <t>Project startup is unclear/slow;#</t>
  </si>
  <si>
    <t>Projects lose time at startup when it is difficult to find and activate support for setting up the a suitable production environment.</t>
  </si>
  <si>
    <t>Provides a clear intake/request route for setting up production environments.</t>
  </si>
  <si>
    <t>Faster/clearer project startup;#</t>
  </si>
  <si>
    <t>Projects request the production platform through the support SharePoint page.</t>
  </si>
  <si>
    <t>The Sweden team described an opt-in model via the project support page, and said it is popular because the alternative is Filery.</t>
  </si>
  <si>
    <t>The Design Excellence office supports startups through the SharePoint request page and startup support model.</t>
  </si>
  <si>
    <t>Miro flags the request process as scalable and it is described as an established opt-in model.</t>
  </si>
  <si>
    <t>Process/way of working;#Platform setup (CDE, hub, workspace);#</t>
  </si>
  <si>
    <t>Projects request production environments through a SharePoint-based support page (opt-in model).</t>
  </si>
  <si>
    <t>Major / highly complex projects; multi-disciplinary projects</t>
  </si>
  <si>
    <t>Governance/ownership unclear;#</t>
  </si>
  <si>
    <t>Unclear file notes governance/ownership topics are still open for templates and standards.</t>
  </si>
  <si>
    <t>ESP-S023</t>
  </si>
  <si>
    <t>ESP-P023</t>
  </si>
  <si>
    <t>Project Hub (SharePoint coordination layer) (Sweden)</t>
  </si>
  <si>
    <t>Sweden major projects and production environments</t>
  </si>
  <si>
    <t>Poor onboarding of new team members;#External collaboration friction;#</t>
  </si>
  <si>
    <t>Project participants onboard slowly when information about project procedures, folder structures and live updates are not gathered and easily consumable in one place, and also made available in a different way in every new project. Also affecting project consistency in applying company standards and practices</t>
  </si>
  <si>
    <t>Provides a repeatable hub for project info and navigation, supporting onboarding and coordination. A visual and live project execution plan. Helps with training people in procedures, folder structure etc.</t>
  </si>
  <si>
    <t>Improved transparency for PMs/teams;#Easier collaboration externally;#</t>
  </si>
  <si>
    <t>A sense of project community, consistent information sharing, one point of entry.</t>
  </si>
  <si>
    <t>They said all major projects, and most projects with production environments, use the Project Hub setup.</t>
  </si>
  <si>
    <t>The templates/project hub are curated by the Sweden team in collaboration, within the Design Excellence office / startup support team.</t>
  </si>
  <si>
    <t>Miro flags GLOBAL relevance and interest from Finland and UK&amp;I.</t>
  </si>
  <si>
    <t>Process/way of working;#Templates/standards;#Platform setup (CDE, hub, workspace);#</t>
  </si>
  <si>
    <t>SharePoint, Teams</t>
  </si>
  <si>
    <t>SharePoint-based template used for project communication, onboarding, and navigation.</t>
  </si>
  <si>
    <t>Recommended in all projects with &gt;10 participants. Small effort to set up.</t>
  </si>
  <si>
    <t>Miro signals: Project Hub identified as reusable/scalable.</t>
  </si>
  <si>
    <t>Global relevance flagged;#Flagged for specific countries;#</t>
  </si>
  <si>
    <t>Governance/ownership unclear;#Adoption &amp; change resistance;#</t>
  </si>
  <si>
    <t>Unclear file highlights global standardisation ambition and communication strategy as open items for Project Hub.</t>
  </si>
  <si>
    <t>ESP-S024</t>
  </si>
  <si>
    <t>ESP-P024</t>
  </si>
  <si>
    <t>Early-phase digital delivery manager involvement (UK&amp;I)</t>
  </si>
  <si>
    <t>UK&amp;I;#</t>
  </si>
  <si>
    <t>UK&amp;I early phase planning and design</t>
  </si>
  <si>
    <t>UK&amp;I, Denmark, Major Projects</t>
  </si>
  <si>
    <t>Projects can choose the wrong digital setup when digital delivery expertise (e.g. Digital Delivery Manager) is brought in after tender and mobilisation decisions are already made.</t>
  </si>
  <si>
    <t>The role is meant to bring digital requirements, CDE decisions, standards and risks into the project early enough that teams do not start in the wrong way of working.</t>
  </si>
  <si>
    <t>Where it happens early, the UK&amp;I team described it as the key route to choosing the right CDE and understanding client standards before delivery starts.</t>
  </si>
  <si>
    <t>Only 4% of projects were said to engage early enough for the team to fully help.</t>
  </si>
  <si>
    <t>The process exists in the sales playbook, but Chris said only a small share of projects actually engage early enough.</t>
  </si>
  <si>
    <t>The UK&amp;I digital delivery managers are Helen Roberts, Katie Andrews, Chris Bargent and John Sadler.</t>
  </si>
  <si>
    <t>Strong front-end governance pattern, but current uptake in UK&amp;I is far below the intended model.</t>
  </si>
  <si>
    <t>Early phase sales playbook, digital delivery manager role</t>
  </si>
  <si>
    <t>A digital delivery manager is identified during DG1 and consulted through DG2 and DG3 to review tender documents, assess digital requirements, and guide project setup decisions before mobilisation.</t>
  </si>
  <si>
    <t>Early phase planning and design</t>
  </si>
  <si>
    <t>Miro explicitly highlighted the early involvement model as something other countries could reuse, but the transcript shows current adoption is still limited in practice.</t>
  </si>
  <si>
    <t>Chris noted that only a small share of projects get digital support early enough, with most projects either not engaging the digital team or doing so too late.</t>
  </si>
  <si>
    <t>ESP-S025</t>
  </si>
  <si>
    <t>ESP-P025</t>
  </si>
  <si>
    <t>Digital fit assessment (UK&amp;I)</t>
  </si>
  <si>
    <t>UK&amp;I projects around DG3 assessment</t>
  </si>
  <si>
    <t>Norway, UK&amp;I, Denmark</t>
  </si>
  <si>
    <t>Projects start with avoidable digital risks when complexity, CDE needs, standards gaps and BEP requirements are not assessed early.</t>
  </si>
  <si>
    <t>It is used to decide whether a project should be in a managed environment and to identify missing standards, BEP content, and delivery risks before mobilisation.</t>
  </si>
  <si>
    <t>Faster / clearer project startup;#Better compliance / consistency;#Improved transparency for PMs / teams;#</t>
  </si>
  <si>
    <t>The assessment gives a structured way to understand whether digital support and a managed CDE are needed rather than relying on ad hoc judgement.</t>
  </si>
  <si>
    <t>This was described as new rather than fully established.</t>
  </si>
  <si>
    <t>Helen said the digital fit assessment has just come in and they have not yet seen the benefits.</t>
  </si>
  <si>
    <t>The digital fit assessment is completed by the digital delivery managers around DG3.</t>
  </si>
  <si>
    <t>Promising standard decision tool with clear reuse potential, but still too new to call proven in UK&amp;I.</t>
  </si>
  <si>
    <t>Digital fit assessment</t>
  </si>
  <si>
    <t>Assessment completed around DG3 to understand project complexity, digital context, goals, gaps, and whether the project needs a managed CDE and stronger digital delivery support.</t>
  </si>
  <si>
    <t>Miro specifically flagged the digital fit assessment as scalable globally, but Helen said benefits have not yet really been seen because it has only just been introduced.</t>
  </si>
  <si>
    <t>The workshop noted that some projects still start in the wrong system because engagement happens late or the assessment is not applied early enough.</t>
  </si>
  <si>
    <t>ESP-S026</t>
  </si>
  <si>
    <t>ESP-P026</t>
  </si>
  <si>
    <t>ISO 19650-aligned ProjectWise deployment model (UK&amp;I)</t>
  </si>
  <si>
    <t>UK&amp;I major transport projects using ProjectWise</t>
  </si>
  <si>
    <t>Users and partners struggle across major projects when CDE structures, workflows, metadata, security and ISO 19650 practices are not standardised.</t>
  </si>
  <si>
    <t>The standardised build gives users a familiar environment across projects and supports controlled collaboration, revision, review and issue of deliverables.</t>
  </si>
  <si>
    <t>Better compliance / consistency;#Easier collaboration externally;#Faster / clearer project startup;#</t>
  </si>
  <si>
    <t>Peter described the standard build as a major reason some projects can be deployed very quickly, with common structures also supporting automation and reporting.</t>
  </si>
  <si>
    <t>Chris said only the largest UK projects are typically the ones on ProjectWise.</t>
  </si>
  <si>
    <t>The deployment model is standardised around ISO 19650, with templated groups, folders, workflows, and staging checks.</t>
  </si>
  <si>
    <t>Deployment is a collaborative effort between the ProjectWise admin team, BIM manager/BIM lead and digital leads; Peter Wilman presented as the UK Transport ProjectWise Lead.</t>
  </si>
  <si>
    <t>Mature operational model with strong practical value, especially where ISO-style control and multi-organisation collaboration are needed.</t>
  </si>
  <si>
    <t>Platform setup (CDE, hub, workspace);#Templates/standards;#Process/way of working;#</t>
  </si>
  <si>
    <t>ProjectWise, Civil 3D, ISO 19650</t>
  </si>
  <si>
    <t>UK&amp;I major projects commonly use a managed ProjectWise deployment aligned to ISO 19650, with standard folder structures, workflows, metadata, granular security and support for internal, external and client users.</t>
  </si>
  <si>
    <t>Miro highlighted broader global relevance around adapting to ISO 19650 and using clearer standards to determine which CDE should be used.</t>
  </si>
  <si>
    <t>The model is closely tied to ProjectWise and UK compliance requirements, including cases where data must remain UK-based.</t>
  </si>
  <si>
    <t>ESP-S027</t>
  </si>
  <si>
    <t>ESP-P027</t>
  </si>
  <si>
    <t>ProjectWise build sheet and staged mobilisation checks (UK&amp;I)</t>
  </si>
  <si>
    <t>UK&amp;I major transport ProjectWise deployments</t>
  </si>
  <si>
    <t>ProjectWise deployments are more error-prone when CDE requirements are not captured, staged, checked and approved before the environment goes live.</t>
  </si>
  <si>
    <t>This creates a repeatable deployment method and reduces the risk of configuration mistakes before users start working live in production.</t>
  </si>
  <si>
    <t>The UK&amp;I team described this as one reason a standard project can sometimes be built and made live within a couple of hours.</t>
  </si>
  <si>
    <t>Presented as part of the standard ProjectWise deployment process for major UK projects.</t>
  </si>
  <si>
    <t>The build sheet and staged mobilisation checks are part of the current ProjectWise deployment process.</t>
  </si>
  <si>
    <t>The ProjectWise admin team builds the environment, while the BIM manager or BIM lead carries out the mobilisation checks before production.</t>
  </si>
  <si>
    <t>Very practical deployment method with visible reuse potential, particularly for countries wanting a faster standard startup process.</t>
  </si>
  <si>
    <t>Process/way of working;#Templates/standards;#Automation/dashboard;#</t>
  </si>
  <si>
    <t>Excel build sheet, PowerShell, ProjectWise staging data source</t>
  </si>
  <si>
    <t>Requirements are captured in an Excel build sheet, then the environment is built first in a staging data source, checked by the BIM lead for workflows, numbering and environments, and only then promoted into production.</t>
  </si>
  <si>
    <t>Major transport projects using ProjectWise</t>
  </si>
  <si>
    <t>Miro specifically called out the build sheet as something Finland could potentially adapt, suggesting wider value if formalised further.</t>
  </si>
  <si>
    <t>It works well but still depends on experienced admins and has not yet been fully formalised into a broader self-service or enterprise process.</t>
  </si>
  <si>
    <t>ESP-S028</t>
  </si>
  <si>
    <t>ESP-P028</t>
  </si>
  <si>
    <t>ProjectWise dashboards and Teams reporting (UK&amp;I)</t>
  </si>
  <si>
    <t>UK&amp;I projects using ProjectWise platforms</t>
  </si>
  <si>
    <t>Poor onboarding of new team members;#Project startup is unclear/slow;#Inconsistent use of standards/templates;#</t>
  </si>
  <si>
    <t>Project managers and Digital Delivery Managers lack early warning of access, workflow and activity issues when ProjectWise data is not easily visible (e.g. in dashboards.)</t>
  </si>
  <si>
    <t>The dashboards make audit trail, access, workflow and activity information more visible to project managers and Digital Delivery Managers, and help teams spot issues early.</t>
  </si>
  <si>
    <t>Improved transparency for PMs / teams;#Better compliance / consistency;#Faster / clearer project startup;#</t>
  </si>
  <si>
    <t>Examples included daily digests in Teams, user dashboards, file activity views and reports used to challenge oversized models and other delivery issues.</t>
  </si>
  <si>
    <t>Peter described daily Teams digests and existing dashboards in ProjectWise projects, while more advanced dashboards are still being developed.</t>
  </si>
  <si>
    <t>Dashboards are already in use, but the transcript says they are still being expanded and are linked to named individuals, so the approach appears useful but not yet fully mature.</t>
  </si>
  <si>
    <t>The dashboards are being set up by Paul Duffy in the UK, with Peter presenting them from the ProjectWise admin side.</t>
  </si>
  <si>
    <t>One of the clearest UK&amp;I reuse candidates because it turns hidden system data into visible operational insight for projects.</t>
  </si>
  <si>
    <t>Automation/dashboard;#Process/way of working;#</t>
  </si>
  <si>
    <t>Teams, ProjectWise web services gateway, dashboards, AI-enabled queries</t>
  </si>
  <si>
    <t>UK&amp;I exposes ProjectWise data through dashboards surfaced in Teams, covering user management, activity, workflow status, licence status, project-specific metrics and newer AI-style query views.</t>
  </si>
  <si>
    <t>Projects using ProjectWise</t>
  </si>
  <si>
    <t>Miro explicitly highlighted user-management dashboards, ProjectWise advanced dashboards and the general idea of bringing data and insights to project users as scalable.</t>
  </si>
  <si>
    <t>The capability appears valuable but depends on continued development time, user engagement and a clear understanding of which insights projects actually need.</t>
  </si>
  <si>
    <t>ESP-S029</t>
  </si>
  <si>
    <t>ESP-P029</t>
  </si>
  <si>
    <t>External user and licence request workflow (UK&amp;I)</t>
  </si>
  <si>
    <t>UK&amp;I externally collaborative ProjectWise projects</t>
  </si>
  <si>
    <t>External collaboration friction;#Poor onboarding of new team members;#Project startup is unclear/slow;#</t>
  </si>
  <si>
    <t>External collaborators are delayed when user creation, licence assignment and licence expiry monitoring are handled through repeated manual requests.</t>
  </si>
  <si>
    <t>The workflow replaces repeated service requests and reduces delays for externals who need ProjectWise access and licences to participate in delivery.</t>
  </si>
  <si>
    <t>Easier collaboration externally;#Improved transparency for PMs / teams;#Faster / clearer project startup;#</t>
  </si>
  <si>
    <t>The UK&amp;I team described this as a practical improvement because external users had previously been blocked when licences expired without warning.</t>
  </si>
  <si>
    <t>Presented as part of the ProjectWise user-management process, especially where external users need access and licences.</t>
  </si>
  <si>
    <t>External user requests and licence assignment are already handled through the dashboard and admin workflow.</t>
  </si>
  <si>
    <t>BIM managers request external users, and the admin team creates the users and assigns licences through the workflow.</t>
  </si>
  <si>
    <t>Useful support pattern with good operational value, though narrower in scope than the broader deployment and dashboard models.</t>
  </si>
  <si>
    <t>Forms, dashboards, ProjectWise user management, licence tracking</t>
  </si>
  <si>
    <t>BIM managers can request external users through a dashboard-driven process, with automatic user creation steps, licence assignment, and monitoring of upcoming licence expiry so access issues are handled more proactively.</t>
  </si>
  <si>
    <t>Projects using ProjectWise; externally collaborative projects</t>
  </si>
  <si>
    <t>Miro references to UK&amp;I licence issuing and user-management dashboards suggest wider reuse potential, especially where external collaborators are common.</t>
  </si>
  <si>
    <t>The workflow depends on the surrounding ProjectWise admin model and ongoing monitoring of licences, users and dashboard processes.</t>
  </si>
  <si>
    <t>ESP-S030</t>
  </si>
  <si>
    <t>ESP-P030</t>
  </si>
  <si>
    <t>SPOT Workflow (Major Projects)</t>
  </si>
  <si>
    <t>MajorProjects#;CivilStructures;#Finland;#Norway;#Denmark</t>
  </si>
  <si>
    <t>DK, NO, FI, UK&amp;I</t>
  </si>
  <si>
    <t>Major Projects: bridges, Finland/Denmark/UK/Norway, 10+ projects</t>
  </si>
  <si>
    <t>Projects waste time and introduce errors when core design data is duplicated across tools instead of managed through a shared data backbone.</t>
  </si>
  <si>
    <t>Centralizes project data to reduce manual data handling, errors, and rework
Enables parallel, multi-tool workflows (BIM, FEM, scripting) with a single data backbone
Improves data consistency and reuse across projects</t>
  </si>
  <si>
    <t>Time savings (observed 25–30% in comparable projects in ROI section; general ROI targets 90–230% in Year 1); reduces data duplication/outdated information; faster onboarding</t>
  </si>
  <si>
    <t>10+ projects, 20+ structures; regions: Finland, Denmark, UK, Norway</t>
  </si>
  <si>
    <t>Security, access, and support risks currently noted; 5–10 simultaneous projects discussed as risk if Phase-2 not implemented</t>
  </si>
  <si>
    <t>MVP transitioning to Beta/Phase-2; planning for scale and documentation</t>
  </si>
  <si>
    <t>Requires platform hardening, documentation, scalability, tool integration, training</t>
  </si>
  <si>
    <t>Product Owner listed as Augustin Ceillier (Phase-2); team includes Anjani K V S N and Rafal</t>
  </si>
  <si>
    <t>Phase-2 is to enable multi-project adoption; risks if not implemented (cross-project breakage, increased support risk)</t>
  </si>
  <si>
    <t>Central SPOT database (KENNEL) plus project SPOT instances
Building blocks, JSON data model, templates, and workflows
Data flow between SPOT, PILARI, and connected tools</t>
  </si>
  <si>
    <t>Excel, JSON, Grasshopper/SOFISTIK environments
Toolkits for Python, GH, and more (tool integration)</t>
  </si>
  <si>
    <t>Architecture includes data modeling, QA, and cross-project scalability
In which projects: Crown Bridge, Kirjala Bridge (examples cited); E18/E39, Olufusarbru, and others; multiple bridges across Finland, Denmark, UK, Norway</t>
  </si>
  <si>
    <t>Crown Bridge, Kirjala Bridge; E18/E39, Olufusarbru, and others; multiple bridges across Finland, Denmark, UK, Norway</t>
  </si>
  <si>
    <t>5–10 parallel projects requires robust hosting, audit, and governance
Standardized building blocks and automated validation essential</t>
  </si>
  <si>
    <t>Security/access hosting risks; reliance on key individuals; risk of cross-project changes; need for audit and standardization</t>
  </si>
  <si>
    <t>ESP-S031</t>
  </si>
  <si>
    <t>ESP-P031</t>
  </si>
  <si>
    <t>Augustin Ceillier; Tung Quach Thanh; Sean LeCoultre; Stephen Roberts</t>
  </si>
  <si>
    <t>CODA Data Dictionary (CDD) (Major Projects)</t>
  </si>
  <si>
    <t>MajorProjects;#CivilStructures;#Finland</t>
  </si>
  <si>
    <t>NO, FI</t>
  </si>
  <si>
    <t>Major Projects: E18/E39, bridges, civil structures</t>
  </si>
  <si>
    <t>Automation and data reuse break down when attributes, definitions and allowed values differ by project, tool or individual script.</t>
  </si>
  <si>
    <t>Ensures all project teams follow the same attribute template; provides a single source of truth for attributes, definitions, types and allowed values; eliminates spelling/syntax variations that break scripts; enables data reusability across projects</t>
  </si>
  <si>
    <t>Centralised reference of attributes preventing script crashes from spelling mistakes; makes learnings from past projects accessible; consistency across projects using CODA tools; streamlined reuse of archived material; prevents duplicating content with each new tool</t>
  </si>
  <si>
    <t>Active on E18/E39 Gartnerløkka–Kolsdalen (15 bridges, 5 culverts, 34 retaining walls, noise barriers, temporary structures); referenced in Crown Bridge, Olfusa projecct, FSQ project</t>
  </si>
  <si>
    <t>In development</t>
  </si>
  <si>
    <t>Will require an ADD team for ongoing maintenance and derogations procedure</t>
  </si>
  <si>
    <t>Scalable but requires ongoing monitoring and maintenance; needs input from wider industry team members; centrally maintained model expected to scale across projects using CODA toolset</t>
  </si>
  <si>
    <t>Mapped against bSDD and IFC4.3 to support interoperability and scaling</t>
  </si>
  <si>
    <t>Centralized reference of attributes, definitions, types and allowed values, structured as: Asset List, Discipline &amp; System assets, Component Catalogue, Attribute Definitions</t>
  </si>
  <si>
    <t>Excel-based dictionary</t>
  </si>
  <si>
    <t>E18/E39 Gartnerløkka–Kolsdalen; Crown Bridge (PoC); E45 Overpasses; Ölfusárbrú; Kulosaarensilta</t>
  </si>
  <si>
    <t>Assumes central maintenance, a derogations procedure for new content, few fed by the many approach where project teams contribute missing content; reuse across CODA-aligned projects</t>
  </si>
  <si>
    <t>Bridge design projects; other civil structures and disciplines (extension envisaged); model-driven / drawingless delivery environments</t>
  </si>
  <si>
    <t>Requires ongoing monitoring &amp; maintenance; needs cross-discipline input to develop content; risk of holding up project delivery if derogation process not efficient; dependency on bSDD/IFC alignment; high variation in attribute syntax across scripts/projects to be normalised</t>
  </si>
  <si>
    <t>Needs the data strategy and data structure established to work properly (flagged as prerequisite for several CODA features such as Asset Data Delivery Workflow, Master CODA CDD, Project DB authentication)</t>
  </si>
  <si>
    <t>ESP-S032</t>
  </si>
  <si>
    <t>ESP-P032</t>
  </si>
  <si>
    <t>BSDD testing / mapping (Major Projects)</t>
  </si>
  <si>
    <t>Major Projects civil structures, pilot phase</t>
  </si>
  <si>
    <t>NA</t>
  </si>
  <si>
    <t>Unclear</t>
  </si>
  <si>
    <t>Interoperability remains difficult when project data dictionaries are not mapped to recognised industry standards such as bSDD and IFC 4.3.</t>
  </si>
  <si>
    <t>Aims to align CODA Data Dictionary (CDD) content with an industry-standard data dictionary (bSDD) and IFC 4.3 to support interoperability and standardised data exchange</t>
  </si>
  <si>
    <t>Not quantified in context. Implied value: interoperability with industry standards, reuse of standardised classifications, alignment with IFC 4.3</t>
  </si>
  <si>
    <t>Not started</t>
  </si>
  <si>
    <t>Mapping exercise between the CODA Data Dictionary (CDD) content and the buildingSMART Data Dictionary (bSDD); review of compatibility with IFC 4.3</t>
  </si>
  <si>
    <t>buildingSMART Data Dictionary (bSDD); IFC 4.3; CODA Data Dictionary (CDD)</t>
  </si>
  <si>
    <t>ESP-S033</t>
  </si>
  <si>
    <t>Digital Project Roles</t>
  </si>
  <si>
    <t>Eirik Storaas Kristoffersen / Diana Soots</t>
  </si>
  <si>
    <t>Ramboll role standard, Digital Delivery Manager and the digital project roles</t>
  </si>
  <si>
    <t>Group</t>
  </si>
  <si>
    <t>All</t>
  </si>
  <si>
    <t>Knwon ongoing Ramboll initiatives</t>
  </si>
  <si>
    <t>InitiativeID</t>
  </si>
  <si>
    <t>InitiativeName</t>
  </si>
  <si>
    <t>InitiativeDescription</t>
  </si>
  <si>
    <t>Status</t>
  </si>
  <si>
    <t>Next steps</t>
  </si>
  <si>
    <t>OwnerAsEvidenced</t>
  </si>
  <si>
    <t>SponsoringUnitAsEvidenced</t>
  </si>
  <si>
    <t>StatusAsEvidenced</t>
  </si>
  <si>
    <t>NormalizedStatus</t>
  </si>
  <si>
    <t>EvidenceSummary</t>
  </si>
  <si>
    <t>EvidenceDate</t>
  </si>
  <si>
    <t>VerificationNeeded</t>
  </si>
  <si>
    <t>SourceReference</t>
  </si>
  <si>
    <t>PI-RTR-001</t>
  </si>
  <si>
    <t>RTR Software Standardisation Exercise</t>
  </si>
  <si>
    <t>Transport-wide exercise to map engineering software by service line/spearhead, identify overlaps, improve interoperability and establish an evidence-based basis for possible standardisation and rationalisation.</t>
  </si>
  <si>
    <t>Anne-Sophie Omel, Portfolio Lead in Transport IDT</t>
  </si>
  <si>
    <t>Actions and next steps are defined: appoint representatives, analyse the landscape, conclude after 1–2 months and prepare a decommissioning plan.</t>
  </si>
  <si>
    <t>Planned</t>
  </si>
  <si>
    <t>The source defines a Transport engineering-software standardisation exercise, its objectives, principles, country-analysis actions and planned conclusion/decommissioning steps.</t>
  </si>
  <si>
    <t>Yes</t>
  </si>
  <si>
    <t>RTR Software Standardisation Exercise.pptx — https://ramboll.sharepoint.com/sites/DITransportMarket-XXXXIDTLeadershipTeam/_layouts/15/Doc.aspx?sourcedoc=%7B3027A090-10BA-4663-8454-1599D13A753F%7D&amp;file=RTR%20Software%20Standardisation%20Exercise.pptx&amp;action=edit&amp;mobileredirect=true&amp;DefaultItemOpen=1</t>
  </si>
  <si>
    <t>Approved</t>
  </si>
  <si>
    <t>Eirik Storaas Kristoffersen</t>
  </si>
  <si>
    <t>Reviewed by Eirik Storaas Kristoffersen and retained in the initiative register.</t>
  </si>
  <si>
    <t>RD-001</t>
  </si>
  <si>
    <t>PI-RTR-002</t>
  </si>
  <si>
    <t>Unified Production Environment (UPE)</t>
  </si>
  <si>
    <t>Global initiative to align supported production platforms, interoperability, data governance, production knowledge and streamlined project environments, with AI and data-centric delivery as target outcomes.</t>
  </si>
  <si>
    <t>David Thomson — Product Owner</t>
  </si>
  <si>
    <t>UPE is in the exploration phase, with ongoing contributing work and an explicit list of active and planned initiatives.</t>
  </si>
  <si>
    <t>Active</t>
  </si>
  <si>
    <t>The source identifies UPE as an initiative, places it in exploration with ongoing work, describes production-platform/data/process scope, and lists active and planned components.</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</si>
  <si>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t>
  </si>
  <si>
    <t>RD-002</t>
  </si>
  <si>
    <t>PI-RTR-002-01</t>
  </si>
  <si>
    <t>UPE - Production Process &amp; Knowledge</t>
  </si>
  <si>
    <t>Establish a trusted UPE Production Process &amp; Knowledge foundation that structures the roles, processes, standards and templates needed to execute projects, and captures, governs and connects knowledge generated through delivery. Today knowledge from 30,000+ projects is fragmented across tools and individual experience, causing time lost finding or recreating ways of working, inconsistent quality and person-dependent delivery. The foundation enables reuse, continuous improvement, global ways of working and AI-ready knowledge; it does not replace Camino, implement the Project Delivery Model in the business, or build an end-to-end process or full AI layer.</t>
  </si>
  <si>
    <t>GBA requirements have been collected and validation with the GBAs is starting; the problem statement is validated, while the requirement set is not yet finally endorsed.</t>
  </si>
  <si>
    <t>Validate the shared, single-GBA and potential requirements with GBA HoDD&amp;P stakeholders; confirm cross-GBA applicability, security and confidentiality boundaries, and ownership. Prioritise initial high-impact production processes, define knowledge governance and review cadence, then progress UPE discovery and pilots (POVs).</t>
  </si>
  <si>
    <t>DD&amp;P Division</t>
  </si>
  <si>
    <t>Validated problem statement (slide 3); GBA requirements collected in shared, single-GBA and potential groups (slides 4, 12–13), with initial GBA input requested by 8 October 2026. Validation with GBAs is starting.</t>
  </si>
  <si>
    <t>Slide 3 describes fragmented production knowledge and the proposed governed UPE foundation, names Diana Soots as Exploration Lead, and leaves requestor, sponsor and Product Owner TBD. Slides 2, 4, 12 and 13 distinguish requirements captured for GBA input from final validation; current validation phase also confirmed by the initiative request.</t>
  </si>
  <si>
    <t>2026_09_28 - UPE Production Process &amp; Knowledge global requirements.pptx, slides 2–4, 12–13; phase update supplied by Eirik Storaas Kristoffersen, 8 Oct 2026</t>
  </si>
  <si>
    <t>PI-RTR-003</t>
  </si>
  <si>
    <t>Transforming Document Management</t>
  </si>
  <si>
    <t>Global project redesigning document-management processes and preparing migration and integrations for a new document management system, with behavioural change and adoption across Ramboll projects.</t>
  </si>
  <si>
    <t>Process redesign and migration/integration preparation are under way. The high-level target is transition to the new document management system in the second half of 2027; the detailed migration and user-transition timetable is not yet established.</t>
  </si>
  <si>
    <t>Define information architecture, metadata, lifecycle and governance, quality assurance, access, standardisation, naming conventions and possible AI use; map migration sources and decide what should migrate; validate and prepare 4,970 projects; plan integrations with Microsoft 365/SharePoint, Maconomy, CRM, the PI Tool and key CDE platforms; involve Transport delivery and information-management experts; establish the detailed H2 2027 migration and user-transition timetable. Initial launch migration scope is Filery and CRM SharePoint; other sources such as Project Portal may require a later project.</t>
  </si>
  <si>
    <t>Morten Hansen — Project Owner</t>
  </si>
  <si>
    <t>The project is moving into process redesign alongside migration and integration preparation. The high-level plan is to transition to a new document management system in H2 2027, but the detailed migration and user-transition timetable is not yet established. Initial launch migration scope is Filery and CRM SharePoint; other sources may follow separately.</t>
  </si>
  <si>
    <t>The 18 September Transport update records active process redesign and migration/integration preparation, informed by pain-point workshops with 14 Transport participants. It identifies an H2 2027 target, an initial Filery and CRM SharePoint migration scope, 4,970 projects requiring review, planned enterprise/CDE integrations, and the need for Transport subject-matter-expert involvement.</t>
  </si>
  <si>
    <t>Introduction to Transforming Document Management project.pptx — https://ramboll.sharepoint.com/sites/InformationabouttheInsightsintoDMSproject/_layouts/15/Doc.aspx?sourcedoc=%7B2C45230D-6298-4E39-B5B2-486433737999%7D&amp;file=Introduction%20to%20Transforming%20Document%20Management%20project.pptx&amp;action=edit&amp;mobileredirect=true&amp;DefaultItemOpen=1; Transforming Document Management: status and next steps for Transport — email from Eirik Storaas Kristoffersen, 18 September 2026; TDM status 11.09.2026.pptx — https://ramboll-my.sharepoint.com/:p:/g/personal/jped_ramboll_dk/IQBrjFCJHe3JQY98boBWikRVAfK-9EiWvg8Crp8H-gyVNqY?e=DeJ3fS</t>
  </si>
  <si>
    <t>Updated from the 18 September 2026 Transport status email; requires review of the revised status, scope and next steps.</t>
  </si>
  <si>
    <t>PI-RTR-004</t>
  </si>
  <si>
    <t>Enabling Citizen Development</t>
  </si>
  <si>
    <t>Ramboll Tech DD&amp;P discovery and pilot initiative to determine business needs, tooling, enablement, governance and safe ways for colleagues to create lightweight automation and solutions.</t>
  </si>
  <si>
    <t>DD&amp;P stated that it wanted to “get moving”; the first step was a survey/discovery exercise followed by proposed focused pilots. A later UPE status records the Citizen Developer Toolkit POD as activated.</t>
  </si>
  <si>
    <t>The email explicitly establishes Citizen Development work within DD&amp;P and a survey/discovery-to-pilot approach; the UPE status later states that a Citizen Developer Toolkit POD was activated.</t>
  </si>
  <si>
    <t>Starting work on Citizen Development in DD&amp;P — Outlook item AAMkADFkNTVkNTdkLTQ2NzktNGUwMy04ZjUwLWJjOGU5NWVmZmVlOABGAAAAAAAwqbqR6chTRqrGrbICvYZiBwAmAYPWE1oSQJIchgDHMYYlAAAFjIT4AAAGgHAtU47mQbWmGDo%2bojP%2bAAfqK8P6AAA%3d; supporting source: 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t>
  </si>
  <si>
    <t>RD-004</t>
  </si>
  <si>
    <t>PI-RTR-005</t>
  </si>
  <si>
    <t>Script Sharing Platform rollout and scaling</t>
  </si>
  <si>
    <t>Scale a live, governed environment for sharing and reusing engineering automation assets including scripts, plugins and visual-programming solutions.</t>
  </si>
  <si>
    <t>Simon Scott Siedler — Product Owner</t>
  </si>
  <si>
    <t>The platform is live; development and UI improvements were complete, Transport and Buildings feedback had been incorporated, and it was ready for broader adoption and scaling.</t>
  </si>
  <si>
    <t>Internal sources identify the platform, its Product Owner, completed development/UAT improvements and the next scaling/adoption phase.</t>
  </si>
  <si>
    <t>Re: Can you point us in the right direction? — Outlook item AAMkADFkNTVkNTdkLTQ2NzktNGUwMy04ZjUwLWJjOGU5NWVmZmVlOABGAAAAAAAwqbqR6chTRqrGrbICvYZiBwAmAYPWE1oSQJIchgDHMYYlAAAFjIT4AAAGgHAtU47mQbWmGDo%2bojP%2bAAmqCfmGAAA%3d; Re: Topic for discussion &amp; my recommendation: Proceed with Meerkat Town and Script Sharing Platform rollout — Outlook item AAMkADFkNTVkNTdkLTQ2NzktNGUwMy04ZjUwLWJjOGU5NWVmZmVlOABGAAAAAAAwqbqR6chTRqrGrbICvYZiBwAmAYPWE1oSQJIchgDHMYYlAAAFjIT4AAAGgHAtU47mQbWmGDo%2bojP%2bAAozvRC3AAA%3d</t>
  </si>
  <si>
    <t>RD-005</t>
  </si>
  <si>
    <t>PI-RTR-006</t>
  </si>
  <si>
    <t>Software processes &amp; portal</t>
  </si>
  <si>
    <t>Ramboll Tech workstream improving software-portfolio governance, employee software journeys, request workflows and production-software support flows.</t>
  </si>
  <si>
    <t>“Stage 4 — execution started”; solutions were defined and work was underway across governance, employee journeys, requests and production support.</t>
  </si>
  <si>
    <t>The Tech Task Force update explicitly identifies the workstream, states that execution had started and enumerates the four improvement areas underway.</t>
  </si>
  <si>
    <t>FW: Tech task force: update for Tech LT — Outlook item AAMkADFkNTVkNTdkLTQ2NzktNGUwMy04ZjUwLWJjOGU5NWVmZmVlOABGAAAAAAAwqbqR6chTRqrGrbICvYZiBwAmAYPWE1oSQJIchgDHMYYlAAAFjIT6AAAGgHAtU47mQbWmGDo%2bojP%2bAAUPEC%2bEAAA%3d; Software Management Processes and Portal Overview.pptx — https://ramboll.sharepoint.com/sites/BoostingTechProfitability/_layouts/15/Doc.aspx?sourcedoc=%7B7684EA9F-9243-4274-BB43-0AF9E0008607%7D&amp;file=Software%20Management%20Processes%20and%20Portal%20Overview.pptx&amp;action=edit&amp;mobileredirect=true&amp;DefaultItemOpen=1</t>
  </si>
  <si>
    <t>RD-006</t>
  </si>
  <si>
    <t>PI-RTR-007</t>
  </si>
  <si>
    <t>Building our Project Management and Delivery department within Major Projects</t>
  </si>
  <si>
    <t>Transport Major Projects initiative to build geographically distributed PMD capability supporting more reliable and harmonised delivery of large infrastructure projects.</t>
  </si>
  <si>
    <t>PMD departments were being opened across geographies, recruitment was continuing, and second-half work would focus on delivery and the second Major Projects Handbook edition.</t>
  </si>
  <si>
    <t>Major Projects explicitly records its decision to build the PMD department, current geographic expansion and continuing delivery/handbook work.</t>
  </si>
  <si>
    <t>Viva Engage: Building our Project Management and Delivery department within Major Projects — https://engage.cloud.microsoft/main/threads/eyJfdHlwZSI6IlRocmVhZCIsImlkIjoiMzk4MjQ1MjcxMjA1NDc4NCJ9</t>
  </si>
  <si>
    <t>RD-008</t>
  </si>
  <si>
    <t>PI-RTR-009</t>
  </si>
  <si>
    <t>The Enhanced Delivery Ecosystem</t>
  </si>
  <si>
    <t>Buildings initiative connecting project and enterprise data with production knowledge and AI-enabled design and delivery. InsightHub is described as Ramboll’s data platform that unlocks business-unit data for use by other tools, including through a data explorer and REST API. Knowledge Management is described as a curated knowledge database of standards, guides, quality-assurance checklists, and design rules, supported by the Global Technical Networks, with a proposed Knowledge Assistant for retrieving information from existing knowledge libraries. The wider ecosystem also includes agentic design and delivery, citizen development, and Buildings Catalyst Teams working to prove and scale new ways of working.</t>
  </si>
  <si>
    <t>Buildings</t>
  </si>
  <si>
    <t>The Buildings presentation describes The Enhanced Delivery Ecosystem as a connected ecosystem in which past and current project and enterprise data flows through Ramboll systems, is made available through InsightHub, curated into production knowledge, and used by engineers, AI agents, and computational designers in project delivery.
InsightHub is described as Ramboll’s data platform that unlocks RBU data and provides a foundation on which other tools can build. The presentation references an InsightHub data explorer and REST API as parts of this data-platform component.
Knowledge Management is described as a curated knowledge database containing standards, guides, quality-assurance checklists, and design rules, supported by the Global Technical Networks. The wider Knowledge Management vision connects knowledge and learning held across Ramboll Academy, online learning platforms, SharePoint, Microsoft Teams, and Viva Engage through search and governance. The stated challenges include knowledge silos, outdated content, lack of a single source, findability, and ownership. A proposed Knowledge Assistant is intended to answer content-specific questions using information sourced from existing knowledge libraries.
Supporting meeting evidence states that Buildings currently uses SharePoint-based eTools as a governed repository for templates, standards, and processes, with an AI search layer added to improve retrieval. The same meeting evidence states that wider cross-GBA work is mapping existing knowledge-management initiatives, technologies, goals, use cases, and requirements before deciding whether a global or enterprise-level solution is required.
The wider Enhanced Delivery Ecosystem also includes agentic design and delivery, citizen development, and Buildings Catalyst Teams working across the ecosystem to prove and scale new ways of working.</t>
  </si>
  <si>
    <t>260825 Buildings SE Leadership AI Day - Copy.pptx — 260825 Buildings SE Leadership AI Day - Copy.pptx supporting evidence: UPE - production process and knowledge bi-weekly check in, 27 August 2026</t>
  </si>
  <si>
    <t>Workshop 1 problems and related existing work</t>
  </si>
  <si>
    <t>Live view of selected fields from WS1_Problems. Edit source records in WS1_Problems, not in this view.</t>
  </si>
  <si>
    <t>Relevant ongoing initiatives</t>
  </si>
  <si>
    <t>Relevant existing standards and practices</t>
  </si>
  <si>
    <t>CandidateProblemID</t>
  </si>
  <si>
    <t>SourcePracticeID</t>
  </si>
  <si>
    <t>ESPDerivedProblemReference</t>
  </si>
  <si>
    <t>CandidateShortTitle</t>
  </si>
  <si>
    <t>CandidateProblemStatement</t>
  </si>
  <si>
    <t>EvidenceFieldsUsed</t>
  </si>
  <si>
    <t>EvidenceExtract</t>
  </si>
  <si>
    <t>ProposedValueLenses</t>
  </si>
  <si>
    <t>ProposedType</t>
  </si>
  <si>
    <t>CandidateAssessment</t>
  </si>
  <si>
    <t>CP-001</t>
  </si>
  <si>
    <t>Slow and non-compliant CDE project startup</t>
  </si>
  <si>
    <t>Projects can start slowly and fail to follow current best practice or standards when qualified CDE management support is unavailable.</t>
  </si>
  <si>
    <t>Problem category(ies); Problem statement; How the existing solution solves problem(s)</t>
  </si>
  <si>
    <t>Problem statement: "Without a qualified CDE manager supporting the project, it can start slowly and not following the current best practice or standard." How the existing solution solves problem(s): "A named department PW manager is available for projects to support setup and access, and keeping the PW structure consistent across projects."</t>
  </si>
  <si>
    <t>Project performance</t>
  </si>
  <si>
    <t>Single supported problem</t>
  </si>
  <si>
    <t>The row states the production problem directly and describes the practice as an established response to setup, access, and standards compliance.</t>
  </si>
  <si>
    <t>CP-002</t>
  </si>
  <si>
    <t>Insufficient CDE manager capacity</t>
  </si>
  <si>
    <t>Project setup, access, and support continuity are at risk when trained local CDE managers lack time alongside project work.</t>
  </si>
  <si>
    <t>Barriers/concerns; Barriers/concerns - Any other comments; How the existing solution solves problem(s)</t>
  </si>
  <si>
    <t>Barriers/concerns: "Resource/capacity constraints." Barriers/concerns - Any other comments: "The model relies on trained local managers having time available alongside project work."</t>
  </si>
  <si>
    <t>The capacity dependency is explicit, but its frequency and production impact are not quantified in the row.</t>
  </si>
  <si>
    <t>CP-003</t>
  </si>
  <si>
    <t>CDE setup depends on informal individual knowledge</t>
  </si>
  <si>
    <t>Project teams rely on informal and individual knowledge to set up the CDE, wasting startup time and creating downstream efficiency and quality risks.</t>
  </si>
  <si>
    <t>Problem category(ies); Problem statement; How the existing solution solves problem(s); Value it appears to give - Any other comments</t>
  </si>
  <si>
    <t>Problem statement: "Project teams rely on informal and individual knowledge when setting up the CDE, leading to waste of time in the start of the project and downstream efficiency and quality risks." Value comments: "It reduces reliance on informal knowledge by documenting the setup steps and manager network in one place."</t>
  </si>
  <si>
    <t>Work sharing; Project performance</t>
  </si>
  <si>
    <t>The production problem and the response mechanism are both explicit in the row.</t>
  </si>
  <si>
    <t>CP-004</t>
  </si>
  <si>
    <t>Shared CDE guidance becomes outdated or bypassed</t>
  </si>
  <si>
    <t>CDE setup can become inconsistent when shared guidance is not kept current or teams use local workarounds instead of the common source.</t>
  </si>
  <si>
    <t>Barriers/concerns; Barriers/concerns - Any other comments</t>
  </si>
  <si>
    <t>Barriers/concerns: "Adoption &amp; change resistance." Barriers/concerns - Any other comments: "Scaling would require teams to keep the guidance current and use the shared portal rather than local workarounds."</t>
  </si>
  <si>
    <t>The row explicitly identifies currency and adoption dependencies, but does not state their current prevalence.</t>
  </si>
  <si>
    <t>CP-005</t>
  </si>
  <si>
    <t>Inconsistent CDE setup across projects</t>
  </si>
  <si>
    <t>Users struggle when CDE structures differ across projects, making consistent delivery, external access, and onboarding harder.</t>
  </si>
  <si>
    <t>Problem category(ies); Problem statement; How the existing solution solves problem(s); Value it appears to give</t>
  </si>
  <si>
    <t>Problem statement: "Users struggle when CDEs are set up differently across projects." How the existing solution solves problem(s): "Users see the same structure from project to project, and external access can be controlled through the defined setup."</t>
  </si>
  <si>
    <t>The row gives a direct problem statement and describes standard structure and controlled external access as the response.</t>
  </si>
  <si>
    <t>CP-006</t>
  </si>
  <si>
    <t>CDE reliability depends on tool integrations</t>
  </si>
  <si>
    <t>Standard production environments can be disrupted when Bentley and Civil 3D integrations do not remain reliable through new software versions.</t>
  </si>
  <si>
    <t>Barriers/concerns: "Tool/platform dependencies." Barriers/concerns - Any other comments: "Workshop discussion highlighted dependency on Bentley and Civil 3D integration, especially when new versions are released."</t>
  </si>
  <si>
    <t>The dependency is explicit, but the row does not document a specific realised failure or its scale.</t>
  </si>
  <si>
    <t>CP-007</t>
  </si>
  <si>
    <t>Cumbersome application of tool configurations and templates</t>
  </si>
  <si>
    <t>Users waste time and create quality risks when it is cumbersome to apply the correct tool configurations and templates for a project.</t>
  </si>
  <si>
    <t>Problem statement: "It is cumbersome for users to apply the right tool configurations and templates for the project at hand, leading to time waste and quality issues." How the existing solution solves problem(s): "It helps ensure the same tools and setup are available wherever the project is opened."</t>
  </si>
  <si>
    <t>The row explicitly states the production problem and the managed setup that responds to it.</t>
  </si>
  <si>
    <t>CP-008</t>
  </si>
  <si>
    <t>Inconsistent environments hinder shared workforce delivery</t>
  </si>
  <si>
    <t>Colleagues in different locations face barriers to shared delivery when the same project tools and setup are not available wherever the project is opened.</t>
  </si>
  <si>
    <t>Problem category(ies); How the existing solution solves problem(s); Value it appears to give; Value it appears to give - Any other comments</t>
  </si>
  <si>
    <t>Problem category(ies): "Shared workforce/cross-country delivery barriers." How the existing solution solves problem(s): "It helps ensure the same tools and setup are available wherever the project is opened, including by colleagues in other locations."</t>
  </si>
  <si>
    <t>The shared-workforce barrier and the enabling mechanism are explicit, although no quantified impact is provided.</t>
  </si>
  <si>
    <t>CP-009</t>
  </si>
  <si>
    <t>Fragile maintenance of shared project configurations</t>
  </si>
  <si>
    <t>Consistent project configuration is at risk when integrations, managed-workspace content, and cross-discipline coordination are not continuously maintained.</t>
  </si>
  <si>
    <t>Barriers/concerns: "Tool/platform dependencies." Barriers/concerns - Any other comments: "Scaling depends on reliable integrations and ongoing maintenance of the managed workspace content. Relies on close involvement and time from business side to ensure cross discipline coordination and alignemnt."</t>
  </si>
  <si>
    <t>The row explicitly describes a common maintenance dependency; actual failure frequency and impact are not stated.</t>
  </si>
  <si>
    <t>CP-010</t>
  </si>
  <si>
    <t>CAD/BIM standards are absent or hard to find</t>
  </si>
  <si>
    <t>Projects and users lose time and consistency when CAD/BIM standards do not exist or the correct standards are difficult to find.</t>
  </si>
  <si>
    <t>Problem statement: "Projects and users lose time and consistency when there is no CAD/BIM standards or it is difficult to find the correct ones." How the existing solution solves problem(s): "The portal provides one reference point for how projects should be set up and how discipline outputs should be structured."</t>
  </si>
  <si>
    <t>The row directly states the problem and identifies a common reference point as the response.</t>
  </si>
  <si>
    <t>CP-011</t>
  </si>
  <si>
    <t>Insufficient expertise to establish project standards</t>
  </si>
  <si>
    <t>Project standards may not be established when no sufficiently experienced person is available to create or provide CAD/BIM standards.</t>
  </si>
  <si>
    <t>Problem statement; How the existing solution solves problem(s); Ownership - Any other comments</t>
  </si>
  <si>
    <t>Problem statement: "Projects and users lose time and consistency when there no sufficiently experienced person in place to create/provide CAD/BIM standards meaning project standards are not in place." How the existing solution solves problem(s): "The portal provides one reference point."</t>
  </si>
  <si>
    <t>The expertise gap is explicit. The portal can distribute standards but the row does not show that it fully resolves availability of experienced people.</t>
  </si>
  <si>
    <t>CP-012</t>
  </si>
  <si>
    <t>Product information is not distributed consistently</t>
  </si>
  <si>
    <t>Users can miss current product and standards information because communication and distribution do not yet follow a fully standard approach.</t>
  </si>
  <si>
    <t>Assumptions on scalability (based on discussions and Miro) - Comments; Barriers/concerns; Barriers/concerns - Any other comments</t>
  </si>
  <si>
    <t>Scalability comments: "Denmark still lacks a fully standard good way of distributing product information." Barriers comments: "The workshop noted that communication and distribution of product information is still an area to improve."</t>
  </si>
  <si>
    <t>The communication gap is explicit, but the row gives limited detail on affected users and production consequences.</t>
  </si>
  <si>
    <t>CP-013</t>
  </si>
  <si>
    <t>Users miss tool updates and support guidance</t>
  </si>
  <si>
    <t>Users miss important tool updates and support guidance when there is no formal single source of truth for tool information.</t>
  </si>
  <si>
    <t>Problem category(ies); Problem statement; How the existing solution solves problem(s); Maturity - Any other comments</t>
  </si>
  <si>
    <t>Problem statement: "Users miss important tool updates and support guidance when there is not a formal single source of truth information channel for the tool." Maturity comments: "The Teams channel is in use, but the team also said they are still struggling with how to communicate updates broadly."</t>
  </si>
  <si>
    <t>The problem is stated directly. The channel responds to it, but the row says broad communication remains unresolved.</t>
  </si>
  <si>
    <t>CP-014</t>
  </si>
  <si>
    <t>Tool communication depends on active channel use</t>
  </si>
  <si>
    <t>Important tool information may not reach users when value depends on people actively checking a channel and on teams maintaining a clear communications model.</t>
  </si>
  <si>
    <t>Scalability comments: "Adoption depends on people actively using the channel." Barriers comments: "Value depends on users checking the channel and on teams having a clear communications model."</t>
  </si>
  <si>
    <t>The adoption dependency is explicit, but the row does not quantify how many users are currently missed.</t>
  </si>
  <si>
    <t>CP-015</t>
  </si>
  <si>
    <t>Client requirements are interpreted inconsistently</t>
  </si>
  <si>
    <t>Teams risk inconsistent data delivery when client modelling requirements are interpreted differently or are not translated into clear project setup rules.</t>
  </si>
  <si>
    <t>Problem statement: "Teams risk inconsistent data delivery when client modelling requirements are interpreted differently or not translated into clear project setup rules." How the existing solution solves problem(s): "Client instructions and project data-management plans give projects a defined baseline."</t>
  </si>
  <si>
    <t>The row directly states the production problem and the baseline instructions used to respond.</t>
  </si>
  <si>
    <t>CP-016</t>
  </si>
  <si>
    <t>Client-specific requirements prevent a common project setup</t>
  </si>
  <si>
    <t>Project setup cannot be applied consistently across contexts when client requirements, project type, client systems, and local law materially vary.</t>
  </si>
  <si>
    <t>Maturity - Any other comments; Scaling Judgement in 04-26 workshop - Any other comments; Assumptions on scalability (based on discussions and Miro) - Comments; Barriers/concerns</t>
  </si>
  <si>
    <t>Maturity comments: "Requirements vary by client and project type." Scaling comments: "Standards are tied to clients own systems and Finnish law." Assumptions: "Client-specific variation is a major limiter unless the core common elements are separated from local requirements."</t>
  </si>
  <si>
    <t>Several fields explicitly identify client and local variation as a material constraint on consistent setup and reuse.</t>
  </si>
  <si>
    <t>CP-017</t>
  </si>
  <si>
    <t>Split ownership creates inconsistent setup and support</t>
  </si>
  <si>
    <t>Project setup and support can be inconsistent when ownership is split across clients, project teams, and discipline leads.</t>
  </si>
  <si>
    <t>Maturity - Any other comments; Barriers/concerns; Barriers/concerns - Any other comments</t>
  </si>
  <si>
    <t>Maturity comments: "Ownership and support are not yet consistent enough to call this fully operational." Barriers comments: "Ownership is split across clients, project teams, and discipline leads."</t>
  </si>
  <si>
    <t>The ownership issue is explicit, but the row does not specify which production activities fail or how often.</t>
  </si>
  <si>
    <t>CP-018</t>
  </si>
  <si>
    <t>Variable project environments hinder shared delivery</t>
  </si>
  <si>
    <t>Shared delivery is difficult when project environments vary by client, project complexity, and who performs the setup, even when the same core tools are used.</t>
  </si>
  <si>
    <t>Problem statement: "Shared delivery is difficult when project environments vary by client, complexity and who sets them up, even when the same core tools are used." How the existing solution solves problem(s): "The environment gives projects a repeatable structure, but setup still varies."</t>
  </si>
  <si>
    <t>The row directly states the production problem and also says the repeatable structure does not remove all setup variation.</t>
  </si>
  <si>
    <t>CP-019</t>
  </si>
  <si>
    <t>Project environment setup is person dependent</t>
  </si>
  <si>
    <t>Folder structures and base project setup can vary when setup is delegated to different BIM coordinators or project assistants when there are gaps in documented standards.</t>
  </si>
  <si>
    <t>Problem statement; Ownership2; Ownership - Any other comments; What does it consist of? - Any other comments</t>
  </si>
  <si>
    <t>Problem statement refers to variation by "who sets them up." Ownership2: "Exists but person dependent." Ownership comments: "Setup is commonly delegated to the BIM coordinator or project assistant; they order the Quadri project and handle the real folder setup."</t>
  </si>
  <si>
    <t>Person dependence is explicit, but the row does not document a concrete setup error or quantify variation.</t>
  </si>
  <si>
    <t>CP-020</t>
  </si>
  <si>
    <t>Shared environment depends on local tools and support</t>
  </si>
  <si>
    <t>Cross-geography use of a shared project environment is constrained by dependence on Trimble/Quadri tooling, Finnish setup conventions, and support capability.</t>
  </si>
  <si>
    <t>Scaling Judgement in 04-26 workshop - Any other comments; Barriers/concerns; Barriers/concerns - Any other comments</t>
  </si>
  <si>
    <t>Scaling comments: "Still closely tied to the current Finland toolchain." Barriers/concerns: "Tool/platform dependencies." Barriers comments: "Scaling depends on Trimble/Quadri tooling, Finnish-specific setup conventions, and support capability across teams and geographies."</t>
  </si>
  <si>
    <t>The row explicitly identifies the platform, local-convention, and support dependencies constraining broader delivery.</t>
  </si>
  <si>
    <t>CP-021</t>
  </si>
  <si>
    <t>Inconsistent and time-consuming design-tool configuration</t>
  </si>
  <si>
    <t>Projects waste time and produce inconsistent setups when standard tool configurations are absent or users rely on configurations stored locally on their computers.</t>
  </si>
  <si>
    <t>Problem statement; How the existing solution solves problem(s)</t>
  </si>
  <si>
    <t>Problem statement: "Projects waste time and struggle with inconsistency when there is not a standard package of tools and tool configurations, and users apply configurations stored locally on their computer." How the existing solution solves problem(s): "The configuration gives designers a starting point."</t>
  </si>
  <si>
    <t>The practice row directly states the production problem and describes the configuration as a starting-point response.</t>
  </si>
  <si>
    <t>CP-022</t>
  </si>
  <si>
    <t>Configuration deployment remains fragmented and locally dependent</t>
  </si>
  <si>
    <t>Consistent configuration deployment is undermined by discipline-specific variations, locally hidden templates, manual tweaking, fragmented ownership, and mixed-tool working.</t>
  </si>
  <si>
    <t>How the existing solution solves problem(s); Adoption - Any other comments; Maturity - Any other comments; Barriers/concerns - Any other comments</t>
  </si>
  <si>
    <t>How the existing solution solves problem(s): "discipline-specific variations and locally hidden templates still create inconsistency." Adoption comments: "the approach was described as fragmented." Maturity comments: "fragmented ownership, hidden templates, and manual tweaking were all discussed." Barriers comments: "fragmented ownership, locally held templates, and mixed-tool working."</t>
  </si>
  <si>
    <t>Several fields explicitly describe current sources of inconsistent deployment rather than merely hypothetical risks.</t>
  </si>
  <si>
    <t>CP-023</t>
  </si>
  <si>
    <t>Slow mobilisation from missing or incomplete discipline templates</t>
  </si>
  <si>
    <t>New projects take longer to mobilise when disciplines lack standard project templates or have incomplete ones.</t>
  </si>
  <si>
    <t>Problem statement; How the existing solution solves problem(s); Maturity - Any other comments</t>
  </si>
  <si>
    <t>Problem statement: "New projects take longer to mobilise when disciplines lack standard or have incomplete project templates." How the existing solution solves problem(s): "The pilot is intended to make project creation more standardised." Maturity comments: "Forma was described as being piloted."</t>
  </si>
  <si>
    <t>The production problem is direct, while the response is explicitly still a pilot rather than an established full response.</t>
  </si>
  <si>
    <t>CP-024</t>
  </si>
  <si>
    <t>Template adoption and tool fit may leave setup inconsistent</t>
  </si>
  <si>
    <t>Project setup can remain inconsistent when discipline-template uptake is limited or the templates do not fit existing tools and client constraints.</t>
  </si>
  <si>
    <t>Value it appears to give - Any other comments; Adoption - Any other comments; Barriers/concerns - Any other comments</t>
  </si>
  <si>
    <t>Value comments: "benefits have not yet been proven in live delivery at scale." Adoption comments: "the solution was explicitly presented as a pilot." Barriers comments: "success will depend on implementation effort, user uptake, and how well Forma fits alongside existing Finland tools and client constraints."</t>
  </si>
  <si>
    <t>The row explicitly identifies uptake and fit dependencies, but their realised production impact has not yet been proven at scale.</t>
  </si>
  <si>
    <t>CP-025</t>
  </si>
  <si>
    <t>Difficulty finding and trusting current software guidance</t>
  </si>
  <si>
    <t>People struggle to find and trust the latest software and standards guidance when there is no trusted single source of truth or clear information channel.</t>
  </si>
  <si>
    <t>Problem statement; How the existing solution solves problem(s); Value it appears to give - Any other comments</t>
  </si>
  <si>
    <t>Problem statement: "People struggle to find and trust the latest software and standards guidance if there is not a trusted single source of truth information channel for it." How the existing solution solves problem(s): "It gives users one place to look for current guidance." Value comments: "The portal reduces ambiguity about where to find instructions."</t>
  </si>
  <si>
    <t>The row directly states the information-access and trust problem and the mechanism used to respond to it.</t>
  </si>
  <si>
    <t>CP-026</t>
  </si>
  <si>
    <t>Current guidance is bypassed by local copies and side channels</t>
  </si>
  <si>
    <t>Users may follow inconsistent or outdated guidance when they do not know or trust the common information source and instead use local copies or side channels.</t>
  </si>
  <si>
    <t>Barriers/concerns: "Adoption &amp; change resistance." Barriers comments: "The model only works if users know it exists, trust it as the single source of truth, and are expected to use it rather than local copies and side channels."</t>
  </si>
  <si>
    <t>The bypass risk and its causes are explicit, but the row does not quantify how often users currently rely on local copies or side channels.</t>
  </si>
  <si>
    <t>CP-027</t>
  </si>
  <si>
    <t>Standards fail to stick without local guidance and feedback routes</t>
  </si>
  <si>
    <t>Standards do not stick or improve when teams lack sufficiently experienced local people who can explain guidance and route feedback to the relevant owners.</t>
  </si>
  <si>
    <t>Problem statement: "Standards do not stick and improve when there are no sufficiently experienced local go-to people / superusers to ask for guidance and who can route feedback to the relevant owners in an understandable way." How the existing solution solves problem(s): "The model helps surface local issues, spread updates, and reinforce expected ways of working."</t>
  </si>
  <si>
    <t>The row explicitly states the production-adoption problem and describes how the practice responds through guidance, updates, and feedback.</t>
  </si>
  <si>
    <t>CP-028</t>
  </si>
  <si>
    <t>Local support depends on scarce outreach capacity</t>
  </si>
  <si>
    <t>Standards support and improvement can weaken when a small number of people lack time for outreach, follow-up, and continuous support.</t>
  </si>
  <si>
    <t>Scaling comments: "hard to scale without dedicated capacity." Barriers/concerns: "Resource/capacity constraints." Barriers comments: "Its effectiveness depends heavily on a small number of people having time to do outreach, follow-up, and continuous support."</t>
  </si>
  <si>
    <t>The capacity dependency and the affected support activities are directly documented.</t>
  </si>
  <si>
    <t>CP-029</t>
  </si>
  <si>
    <t>Slow and costly setup of complex production environments</t>
  </si>
  <si>
    <t>Complex projects face slow and costly production-environment setup when design tools, CDEs, issue management, and client platforms are not connected through a standardised ecosystem.</t>
  </si>
  <si>
    <t>Problem statement: "Lack of standardised connected ecosystems of design tools, CDEs, issue mgmt and client platforms, required for complex projects createa s slow and costly process for setting up the project production environment." How the existing solution solves problem(s): "the overall ecosystem is complex and varies by project and client." Maturity comments: "it is not yet a low-friction standard model."</t>
  </si>
  <si>
    <t>The setup problem is explicit, and the row says the operating response works but remains complex and variable.</t>
  </si>
  <si>
    <t>CP-030</t>
  </si>
  <si>
    <t>Client and platform variation prevents a repeatable environment setup</t>
  </si>
  <si>
    <t>Production-environment setup remains difficult to standardise because it depends on multiple connected platforms and client-specific ways of working.</t>
  </si>
  <si>
    <t>How the existing solution solves problem(s); Assumptions on scalability (based on discussions and Miro) - Comments; Barriers/concerns; Barriers/concerns - Any other comments</t>
  </si>
  <si>
    <t>How the existing solution solves problem(s): "the overall ecosystem is complex and varies by project and client." Scalability comments: "scaling it more widely would require stronger standardisation across tools, clients, and startup practices." Barriers comments: "depends on several connected platforms and on client-specific ways of working."</t>
  </si>
  <si>
    <t>Project/client variability and platform dependency are repeated explicitly across the row as barriers to standardisation.</t>
  </si>
  <si>
    <t>CP-031</t>
  </si>
  <si>
    <t>Multi-platform delivery depends on dedicated bridging resources</t>
  </si>
  <si>
    <t>Complex multi-platform project delivery depends heavily on dedicated digital project resources to bridge gaps between systems, limiting a low-friction setup model.</t>
  </si>
  <si>
    <t>Maturity - Any other comments; Ownership - Any other comments; Scaling Judgement in 04-26 workshop - Any other comments</t>
  </si>
  <si>
    <t>Maturity comments: "depends heavily on dedicated digital project role resources bridging systems." Ownership comments: "dedicated full-time BIM resources / a BIM group handling much of the digital infrastructure between systems." Scaling comments: "not a lightweight one to replicate."</t>
  </si>
  <si>
    <t>The row explicitly identifies dedicated bridging resources as a dependency and says the model is not lightweight to replicate.</t>
  </si>
  <si>
    <t>CP-032</t>
  </si>
  <si>
    <t>Manual model exchange creates effort and outdated-model risk</t>
  </si>
  <si>
    <t>Projects waste effort and risk using outdated design models when interdisciplinary model exchange depends on manual exporting, importing, and checking between platforms.</t>
  </si>
  <si>
    <t>Problem statement: "Projects waste effort and risk outdated design models when interdisciplinary model exchanges still depend on manual exporting, importing and checking between platforms." How the existing solution solves problem(s): "reduce manual exports and imports between tools and to keep live interdisciplinary models available."</t>
  </si>
  <si>
    <t>Work sharing; AI and automation; Project performance</t>
  </si>
  <si>
    <t>The production problem and the automation response are both stated directly.</t>
  </si>
  <si>
    <t>CP-033</t>
  </si>
  <si>
    <t>Automated model exchange depends on maintained integrations</t>
  </si>
  <si>
    <t>Reliable cross-platform model exchange is at risk when automation ownership or maintenance capacity is insufficient, or connected-platform integrations are unstable.</t>
  </si>
  <si>
    <t>Barriers/concerns: "Tool/platform dependencies; Resource/capacity constraints." Barriers comments: "Scaling depends on automation ownership, maintenance capacity, and stable integrations across the connected platforms."</t>
  </si>
  <si>
    <t>The dependencies are explicit, but the row does not document a current integration failure or quantify its delivery impact.</t>
  </si>
  <si>
    <t>CP-034</t>
  </si>
  <si>
    <t>Unclear model readiness undermines confidence and decisions</t>
  </si>
  <si>
    <t>Teams and clients lack confidence in whether design models are ready for intended decisions, use cases, and delivery across design-maturation phases.</t>
  </si>
  <si>
    <t>Problem statement: "Lack of confidence and trust in the design models readiness for supporting the intended project decisions, use cases and delivery is unclear across the phases of design maturation." How the existing solution solves problem(s): "The matrix makes model readiness clearer for clients and other disciplines."</t>
  </si>
  <si>
    <t>The row directly identifies uncertainty about model readiness and describes the practice as clarifying maturity and expected use.</t>
  </si>
  <si>
    <t>CP-035</t>
  </si>
  <si>
    <t>Inconsistent maturity definitions weaken model-readiness assurance</t>
  </si>
  <si>
    <t>Model-readiness assurance is weakened when disciplines do not use maturity definitions consistently, lack shared understanding, or do not agree common property structures.</t>
  </si>
  <si>
    <t>Barriers/concerns: "Adoption &amp; change resistance; Governance/ownership unclear." Barriers comments: "Value depends on consistent discipline use, shared understanding of the maturity definitions, and agreement on common property structures."</t>
  </si>
  <si>
    <t>The necessary consistency and agreement conditions are explicit, but the row does not state their current prevalence.</t>
  </si>
  <si>
    <t>CP-036</t>
  </si>
  <si>
    <t>Slow and untraceable access onboarding and offboarding</t>
  </si>
  <si>
    <t>Project onboarding is slow and hard to track when user access, approvals, and offboarding are handled through ad hoc email chains and Teams chats.</t>
  </si>
  <si>
    <t>Problem statement: "Project onboarding is slow and hard to track when user access, approvals and offboarding are handled through ad hoc email chains and teams chats." How the existing solution solves problem(s): "replaces ad hoc email chains and gives projects a clearer, traceable onboarding process across multiple tools."</t>
  </si>
  <si>
    <t>The row explicitly states the access-coordination problem and the traceable workflow response.</t>
  </si>
  <si>
    <t>CP-037</t>
  </si>
  <si>
    <t>Onboarding workflow depends on a small number of people</t>
  </si>
  <si>
    <t>Access onboarding and offboarding continuity and scalability are constrained when workflow setup and support depend on a small number of people.</t>
  </si>
  <si>
    <t>Ownership - Any other comments; Barriers/concerns; Barriers/concerns - Any other comments</t>
  </si>
  <si>
    <t>Ownership comments: "Andreas said he is still the main resource setting the solution up and usually the owner of it." Barriers/concerns: "Resource/capacity constraints; Governance/ownership unclear." Barriers comments: "still dependent on a small number of people and was not originally built as a fully scalable enterprise solution."</t>
  </si>
  <si>
    <t>Key-person dependence and limited enterprise scalability are explicitly documented.</t>
  </si>
  <si>
    <t>CP-038</t>
  </si>
  <si>
    <t>Scattered project information slows orientation and delivery</t>
  </si>
  <si>
    <t>New and existing project members lose time finding correct, up-to-date links, guidance, updates, and digital-tool information when these are scattered across project documents and storage.</t>
  </si>
  <si>
    <t>Problem statement: "New and existing team members lose time finding correct up-to-date project information when key links, guidance, updates and info on digital tools are scattered across project documents and storage." How the existing solution solves problem(s): "The hub gives project members one visible entry point into a complicated multi-system project setup."</t>
  </si>
  <si>
    <t>The row directly states the time-loss problem and identifies the practice as the visible entry point responding to scattered project information.</t>
  </si>
  <si>
    <t>CP-039</t>
  </si>
  <si>
    <t>Project guidance can become outdated or bypassed</t>
  </si>
  <si>
    <t>Project orientation and coordination can become unreliable when the shared project page is not kept current or teams rely on side channels instead of the common reference point.</t>
  </si>
  <si>
    <t>Barriers/concerns; Barriers/concerns - Any other comments; Adoption - Any other comments</t>
  </si>
  <si>
    <t>Barriers/concerns: "Adoption &amp; change resistance." Barriers/concerns - Any other comments: "Its value depends on teams keeping the page current and using it as the shared reference point rather than relying on side channels."</t>
  </si>
  <si>
    <t>The dependency on current content and use of the shared reference is explicit, but the row does not quantify how often pages become stale or side channels are used.</t>
  </si>
  <si>
    <t>CP-040</t>
  </si>
  <si>
    <t>Inconsistent asset information obstructs model-based handover</t>
  </si>
  <si>
    <t>Model-based project use cases and handover are harder when asset information is not coded and structured consistently using open standards and standardised object coding.</t>
  </si>
  <si>
    <t>Problem statement: "Model-based project use cases and handover are harder when asset information are not coded and structured consistently, e.g. based on open standards like IFC 4x3 and applying standardised asset object coding." How the existing solution solves problem(s): "This supports more model-based delivery and clearer handover into client systems."</t>
  </si>
  <si>
    <t>The row directly states the production and handover problem and links the documented coding pattern to clearer model-based delivery.</t>
  </si>
  <si>
    <t>CP-041</t>
  </si>
  <si>
    <t>Asset delivery depends on client and platform maturity</t>
  </si>
  <si>
    <t>Consistent model-based asset delivery is constrained when client requirements, coding standards, or the receiving asset-management environment are not sufficiently aligned or mature.</t>
  </si>
  <si>
    <t>Barriers/concerns: "Local regulations/client constraints; Tool/platform dependencies." Barriers/concerns - Any other comments: "The approach is heavily influenced by client requirements, coding standards, and the maturity of the receiving asset-management environment." Adoption - Any other comments: "It is still difficult and time-consuming to implement."</t>
  </si>
  <si>
    <t>The row explicitly identifies client, standards, platform, and receiving-environment dependencies, but does not document a specific current failure.</t>
  </si>
  <si>
    <t>CP-042</t>
  </si>
  <si>
    <t>Inconsistent CAD configuration causes rework and manual setup</t>
  </si>
  <si>
    <t>Projects risk inconsistent CAD outputs and spend manual effort finding and adopting official tool configurations and templates.</t>
  </si>
  <si>
    <t>Problem statement: "Projects risk inconsistent CAD outputs and spend manual effort to find and adopt official/standard tool configurations and templates." How the existing solution solves problem(s): "Supports consistent deployment of CAD configuration/templates to projects." Value comments: "All configs and templates collected in the software and not in different libraries."</t>
  </si>
  <si>
    <t>The row states both the output-consistency risk and manual effort, and describes the configuration mechanism as the direct response.</t>
  </si>
  <si>
    <t>CP-043</t>
  </si>
  <si>
    <t>Non-standard CDE metadata reduces findability and reuse</t>
  </si>
  <si>
    <t>CDE environments become harder to search, manage, and reuse when metadata, naming, and workspace setup are not standardised.</t>
  </si>
  <si>
    <t>Problem statement: "CDE environments become harder to search, manage and reuse when metadata, naming and workspace setup are not standardised." How the existing solution solves problem(s): "Standardises naming and workspace setup within ProjectWise."</t>
  </si>
  <si>
    <t>The row provides a direct production problem and identifies standardised naming and workspace setup as the response.</t>
  </si>
  <si>
    <t>CP-044</t>
  </si>
  <si>
    <t>Uncontrolled collaboration complicates rail delivery</t>
  </si>
  <si>
    <t>Rail projects face harder external access, compliance, and delivery coordination when they lack controlled collaboration spaces.</t>
  </si>
  <si>
    <t>Problem statement: "Rail projects need controlled collaboration spaces; without them, external access, compliance and delivery coordination become harder to manage." How the existing solution solves problem(s): "Provides controlled production environment for rail project delivery."</t>
  </si>
  <si>
    <t>The row directly describes the rail-delivery problem and the controlled production environment that responds to it.</t>
  </si>
  <si>
    <t>CP-045</t>
  </si>
  <si>
    <t>Difficulty activating setup support delays project startup</t>
  </si>
  <si>
    <t>Projects lose startup time when it is difficult to find and activate support for setting up a suitable production environment.</t>
  </si>
  <si>
    <t>Problem category(ies); Problem statement; How the existing solution solves problem(s); What does it consist of? - Any other comments</t>
  </si>
  <si>
    <t>Problem statement: "Projects lose time at startup when it is difficult to find and activate support for setting up the a suitable production environment." How the existing solution solves problem(s): "Provides a clear intake/request route for setting up production environments." Practice description: "Projects request production environments through a SharePoint-based support page (opt-in model)."</t>
  </si>
  <si>
    <t>The row directly states the startup delay and identifies the request route as the response.</t>
  </si>
  <si>
    <t>CP-046</t>
  </si>
  <si>
    <t>Unclear governance can weaken setup support</t>
  </si>
  <si>
    <t>Production-environment setup support can become inconsistent when governance and ownership for the underlying templates and standards remain unclear.</t>
  </si>
  <si>
    <t>Barriers/concerns: "Governance/ownership unclear." Barriers/concerns - Any other comments: "Unclear file notes governance/ownership topics are still open for templates and standards."</t>
  </si>
  <si>
    <t>The governance and ownership gap is explicit, but the row does not state its current frequency or quantify its impact on project setup.</t>
  </si>
  <si>
    <t>CP-047</t>
  </si>
  <si>
    <t>Scattered procedures slow project onboarding</t>
  </si>
  <si>
    <t>Project participants onboard slowly when project procedures, folder structures, and live updates are not gathered and easily consumable in one place.</t>
  </si>
  <si>
    <t>Problem statement: "Project participants onboard slowly when information about project procedures, folder structures and live updates are not gathered and easily consumable in one place." How the existing solution solves problem(s): "Provides a repeatable hub for project info and navigation, supporting onboarding and coordination."</t>
  </si>
  <si>
    <t>The row directly identifies slow onboarding caused by dispersed information and describes the hub as the repeatable navigation response.</t>
  </si>
  <si>
    <t>CP-048</t>
  </si>
  <si>
    <t>Project-by-project information variation weakens consistency</t>
  </si>
  <si>
    <t>Company standards and practices are applied less consistently when project information is presented differently in every new project.</t>
  </si>
  <si>
    <t>Problem statement: "[Information is] made available in a different way in every new project. Also affecting project consistency in applying company standards and practices." How the existing solution solves problem(s): "Provides a repeatable hub for project info and navigation." Value comments: "consistent information sharing, one point of entry."</t>
  </si>
  <si>
    <t>The row explicitly links project-by-project variation to inconsistent application of company standards and describes a repeatable hub as the response.</t>
  </si>
  <si>
    <t>CP-049</t>
  </si>
  <si>
    <t>Open governance and adoption issues constrain project hubs</t>
  </si>
  <si>
    <t>Consistent project information sharing can be constrained when hub governance, global standardisation, communication, or user adoption are unresolved.</t>
  </si>
  <si>
    <t>Barriers/concerns; Barriers/concerns - Any other comments; Ownership - Any other comments</t>
  </si>
  <si>
    <t>Barriers/concerns: "Governance/ownership unclear; Adoption &amp; change resistance." Barriers/concerns - Any other comments: "Unclear file highlights global standardisation ambition and communication strategy as open items for Project Hub." Ownership comments: "The templates/project hub are curated by the Sweden team in collaboration."</t>
  </si>
  <si>
    <t>The open governance, standardisation, communication, and adoption issues are explicit, but their production impact is not quantified.</t>
  </si>
  <si>
    <t>CP-050</t>
  </si>
  <si>
    <t>Late digital expertise leads to wrong project setup</t>
  </si>
  <si>
    <t>Projects can choose the wrong digital setup when digital delivery expertise is brought in after tender and mobilisation decisions have already been made.</t>
  </si>
  <si>
    <t>Problem category(ies); Problem statement; How the existing solution solves problem(s); Adoption - Any other comments; Barriers/concerns - Any other comments</t>
  </si>
  <si>
    <t>Problem statement: "Projects can choose the wrong digital setup when digital delivery expertise (e.g. Digital Delivery Manager) is brought in after tender and mobilisation decisions are already made." How the existing solution solves problem(s): "The role is meant to bring digital requirements, CDE decisions, standards and risks into the project early enough that teams do not start in the wrong way of working." Adoption comments: "Only 4% of projects were said to engage early enough for the team to fully help." Barriers comments: "Most projects either not engaging the digital team or doing so too late."</t>
  </si>
  <si>
    <t>The row directly states the production-setup problem, the early-response mechanism, and the documented low rate of timely engagement.</t>
  </si>
  <si>
    <t>CP-051</t>
  </si>
  <si>
    <t>Unassessed digital requirements create avoidable startup risks</t>
  </si>
  <si>
    <t>Projects start with avoidable digital delivery risks when complexity, CDE needs, standards gaps, and BEP requirements are not assessed early.</t>
  </si>
  <si>
    <t>Problem category(ies): "Project startup is unclear/slow; Inconsistent use of standards/templates." Problem statement: "Projects start with avoidable digital risks when complexity, CDE needs, standards gaps and BEP requirements are not assessed early." How the existing solution solves problem(s): "It is used to decide whether a project should be in a managed environment and to identify missing standards, BEP content, and delivery risks before mobilisation."</t>
  </si>
  <si>
    <t>Possible compound problem</t>
  </si>
  <si>
    <t>The row directly states an early-assessment problem and names several linked risk dimensions; these may require separation during human review.</t>
  </si>
  <si>
    <t>CP-052</t>
  </si>
  <si>
    <t>Late engagement leads projects into the wrong system</t>
  </si>
  <si>
    <t>Projects can start in the wrong system when digital engagement happens late or the digital fit assessment is not applied early enough.</t>
  </si>
  <si>
    <t>Barriers/concerns: "Adoption &amp; change resistance; Governance/ownership unclear." Barriers/concerns - Any other comments: "The workshop noted that some projects still start in the wrong system because engagement happens late or the assessment is not applied early enough."</t>
  </si>
  <si>
    <t>The row explicitly identifies late engagement or late assessment as the cause of projects starting in the wrong system.</t>
  </si>
  <si>
    <t>CP-053</t>
  </si>
  <si>
    <t>Non-standard CDE controls create cross-project delivery friction</t>
  </si>
  <si>
    <t>Users and partners struggle across major projects when CDE structures, workflows, metadata, security, and ISO 19650 practices are not standardised.</t>
  </si>
  <si>
    <t>Problem category(ies): "Inconsistent use of standards/templates; External collaboration friction; Poor onboarding of new team members." Problem statement: "Users and partners struggle across major projects when CDE structures, workflows, metadata, security and ISO 19650 practices are not standardised." How the existing solution solves problem(s): "The standardised build gives users a familiar environment across projects and supports controlled collaboration, revision, review and issue of deliverables."</t>
  </si>
  <si>
    <t>The production problem is explicit, but it combines several configuration and collaboration dimensions that human review may choose to separate.</t>
  </si>
  <si>
    <t>CP-054</t>
  </si>
  <si>
    <t>Platform and jurisdiction dependencies constrain deployment portability</t>
  </si>
  <si>
    <t>A standard CDE deployment model may not transfer directly where projects use different platforms or must meet different local compliance and data-residency requirements.</t>
  </si>
  <si>
    <t>Barriers/concerns: "Tool/platform dependencies; Local regulations/client constraints." Barriers/concerns - Any other comments: "The model is closely tied to ProjectWise and UK compliance requirements, including cases where data must remain UK-based."</t>
  </si>
  <si>
    <t>The dependencies are explicit, but the row does not establish how often they prevent or delay production deployment.</t>
  </si>
  <si>
    <t>CP-055</t>
  </si>
  <si>
    <t>Uncontrolled CDE mobilisation increases configuration errors</t>
  </si>
  <si>
    <t>ProjectWise deployments are more error-prone when CDE requirements are not captured, staged, checked, and approved before the environment goes live.</t>
  </si>
  <si>
    <t>Problem category(ies): "Project startup is unclear/slow; Inconsistent use of standards/templates." Problem statement: "ProjectWise deployments are more error-prone when CDE requirements are not captured, staged, checked and approved before the environment goes live." How the existing solution solves problem(s): "This creates a repeatable deployment method and reduces the risk of configuration mistakes before users start working live in production." Practice description: "Requirements are captured in an Excel build sheet, then the environment is built first in a staging data source, checked by the BIM lead for workflows, numbering and environments, and only then promoted into production."</t>
  </si>
  <si>
    <t>The row directly identifies configuration errors caused by missing capture, staging, checking, and approval before go-live.</t>
  </si>
  <si>
    <t>CP-056</t>
  </si>
  <si>
    <t>Dependence on experienced administrators limits repeatable mobilisation</t>
  </si>
  <si>
    <t>CDE mobilisation is difficult to scale consistently when it depends on experienced administrators and is not formalised as a broader self-service or enterprise process.</t>
  </si>
  <si>
    <t>Ownership; Ownership - Any other comments; Barriers/concerns; Barriers/concerns - Any other comments</t>
  </si>
  <si>
    <t>Ownership: "Exists but person dependent." Ownership - Any other comments: "The ProjectWise admin team builds the environment, while the BIM manager or BIM lead carries out the mobilisation checks before production." Barriers/concerns: "Resource/capacity constraints; Governance/ownership unclear." Barriers/concerns - Any other comments: "It works well but still depends on experienced admins and has not yet been fully formalised into a broader self-service or enterprise process."</t>
  </si>
  <si>
    <t>The person dependency and lack of wider formalisation are explicit, but the production frequency and impact are not quantified.</t>
  </si>
  <si>
    <t>CP-057</t>
  </si>
  <si>
    <t>Hidden CDE data prevents early warning of delivery issues</t>
  </si>
  <si>
    <t>Project managers and Digital Delivery Managers lack early warning of access, workflow, and activity issues when ProjectWise data is not easily visible.</t>
  </si>
  <si>
    <t>Problem category(ies): "Poor onboarding of new team members; Project startup is unclear/slow; Inconsistent use of standards/templates." Problem statement: "Project managers and Digital Delivery Managers lack early warning of access, workflow and activity issues when ProjectWise data is not easily visible (e.g. in dashboards.)" How the existing solution solves problem(s): "The dashboards make audit trail, access, workflow and activity information more visible to project managers and Digital Delivery Managers, and help teams spot issues early." Value comments: "Examples included daily digests in Teams, user dashboards, file activity views and reports used to challenge oversized models and other delivery issues."</t>
  </si>
  <si>
    <t>The row directly states the visibility and early-warning problem and describes the practice as the response.</t>
  </si>
  <si>
    <t>CP-058</t>
  </si>
  <si>
    <t>Capacity and adoption gaps constrain operational insight</t>
  </si>
  <si>
    <t>Reliable project insight can be constrained when dashboard development time, user engagement, or agreement on the insights projects need is insufficient.</t>
  </si>
  <si>
    <t>Barriers/concerns; Barriers/concerns - Any other comments; Maturity - Any other comments</t>
  </si>
  <si>
    <t>Barriers/concerns: "Resource/capacity constraints; Adoption &amp; change resistance." Barriers/concerns - Any other comments: "The capability appears valuable but depends on continued development time, user engagement and a clear understanding of which insights projects actually need." Maturity - Any other comments: "Dashboards are already in use, but the transcript says they are still being expanded and are linked to named individuals, so the approach appears useful but not yet fully mature."</t>
  </si>
  <si>
    <t>The constraints are explicit, but the row does not quantify their effect on project decisions or delivery outcomes.</t>
  </si>
  <si>
    <t>CP-059</t>
  </si>
  <si>
    <t>Manual external-user provisioning delays collaboration</t>
  </si>
  <si>
    <t>External collaborators are delayed when user creation and licence assignment are handled through repeated manual requests.</t>
  </si>
  <si>
    <t>Problem category(ies): "External collaboration friction; Poor onboarding of new team members; Project startup is unclear/slow." Problem statement: "External collaborators are delayed when user creation, licence assignment and licence expiry monitoring are handled through repeated manual requests." How the existing solution solves problem(s): "The workflow replaces repeated service requests and reduces delays for externals who need ProjectWise access and licences to participate in delivery."</t>
  </si>
  <si>
    <t>The row directly identifies external-collaborator delays, but combines user creation, licence assignment, and expiry monitoring; expiry is separated in the next proposal.</t>
  </si>
  <si>
    <t>CP-060</t>
  </si>
  <si>
    <t>Unmonitored licence expiry blocks external users</t>
  </si>
  <si>
    <t>External users can be blocked from project delivery when licences expire without warning.</t>
  </si>
  <si>
    <t>Problem statement; Value it appears to give - Any other comments; What does it consist of? - Any other comments</t>
  </si>
  <si>
    <t>Problem statement: "External collaborators are delayed when user creation, licence assignment and licence expiry monitoring are handled through repeated manual requests." Value comments: "The UK&amp;I team described this as a practical improvement because external users had previously been blocked when licences expired without warning." Practice description: "BIM managers can request external users through a dashboard-driven process, with automatic user creation steps, licence assignment, and monitoring of upcoming licence expiry so access issues are handled more proactively."</t>
  </si>
  <si>
    <t>The row explicitly records that external users had been blocked by licences expiring without warning and describes proactive monitoring as the response.</t>
  </si>
  <si>
    <t>CP-061</t>
  </si>
  <si>
    <t>Administrative dependencies constrain reliable external access</t>
  </si>
  <si>
    <t>External-user access can become unreliable when licence and user workflows depend on the surrounding ProjectWise administration model and ongoing manual monitoring.</t>
  </si>
  <si>
    <t>Ownership: "Exists but person dependent." Ownership - Any other comments: "BIM managers request external users, and the admin team creates the users and assigns licences through the workflow." Barriers/concerns: "Tool/platform dependencies; Resource/capacity constraints." Barriers/concerns - Any other comments: "The workflow depends on the surrounding ProjectWise admin model and ongoing monitoring of licences, users and dashboard processes."</t>
  </si>
  <si>
    <t>The administrative and monitoring dependencies are explicit, but the row does not quantify resulting access failures or delays.</t>
  </si>
  <si>
    <t>ProblemMappingID</t>
  </si>
  <si>
    <t>ProblemID</t>
  </si>
  <si>
    <t>Relationship</t>
  </si>
  <si>
    <t>MappingRationale</t>
  </si>
  <si>
    <t>Evidence</t>
  </si>
  <si>
    <t>PracticeMappingID</t>
  </si>
  <si>
    <t>PracticeID</t>
  </si>
  <si>
    <t>PM-001</t>
  </si>
  <si>
    <t>Existing response</t>
  </si>
  <si>
    <t>PM-002</t>
  </si>
  <si>
    <t>Potential conflict or constraint</t>
  </si>
  <si>
    <t>PM-003</t>
  </si>
  <si>
    <t>PM-004</t>
  </si>
  <si>
    <t>PM-005</t>
  </si>
  <si>
    <t>PM-006</t>
  </si>
  <si>
    <t>PM-007</t>
  </si>
  <si>
    <t>PM-008</t>
  </si>
  <si>
    <t>Enabling practice</t>
  </si>
  <si>
    <t>PM-009</t>
  </si>
  <si>
    <t>PM-010</t>
  </si>
  <si>
    <t>PM-011</t>
  </si>
  <si>
    <t>Partial response</t>
  </si>
  <si>
    <t>PM-012</t>
  </si>
  <si>
    <t>PM-013</t>
  </si>
  <si>
    <t>PM-014</t>
  </si>
  <si>
    <t>PM-015</t>
  </si>
  <si>
    <t>PM-016</t>
  </si>
  <si>
    <t>PM-017</t>
  </si>
  <si>
    <t>PM-018</t>
  </si>
  <si>
    <t>PM-019</t>
  </si>
  <si>
    <t>PM-020</t>
  </si>
  <si>
    <t>PM-021</t>
  </si>
  <si>
    <t>PM-022</t>
  </si>
  <si>
    <t>PM-023</t>
  </si>
  <si>
    <t>PM-024</t>
  </si>
  <si>
    <t>PM-025</t>
  </si>
  <si>
    <t>PM-026</t>
  </si>
  <si>
    <t>PM-027</t>
  </si>
  <si>
    <t>PM-028</t>
  </si>
  <si>
    <t>PM-029</t>
  </si>
  <si>
    <t>PM-030</t>
  </si>
  <si>
    <t>PM-031</t>
  </si>
  <si>
    <t>PM-032</t>
  </si>
  <si>
    <t>PM-033</t>
  </si>
  <si>
    <t>PM-034</t>
  </si>
  <si>
    <t>PM-035</t>
  </si>
  <si>
    <t>PM-036</t>
  </si>
  <si>
    <t>PM-037</t>
  </si>
  <si>
    <t>PM-038</t>
  </si>
  <si>
    <t>PM-039</t>
  </si>
  <si>
    <t>PM-040</t>
  </si>
  <si>
    <t>PM-041</t>
  </si>
  <si>
    <t>PM-042</t>
  </si>
  <si>
    <t>PM-043</t>
  </si>
  <si>
    <t>PM-044</t>
  </si>
  <si>
    <t>PM-045</t>
  </si>
  <si>
    <t>PM-046</t>
  </si>
  <si>
    <t>PM-047</t>
  </si>
  <si>
    <t>PM-048</t>
  </si>
  <si>
    <t>PM-049</t>
  </si>
  <si>
    <t>PM-050</t>
  </si>
  <si>
    <t>PM-051</t>
  </si>
  <si>
    <t>PM-052</t>
  </si>
  <si>
    <t>PM-053</t>
  </si>
  <si>
    <t>PM-054</t>
  </si>
  <si>
    <t>PM-055</t>
  </si>
  <si>
    <t>PM-056</t>
  </si>
  <si>
    <t>PM-057</t>
  </si>
  <si>
    <t>PM-058</t>
  </si>
  <si>
    <t>PM-059</t>
  </si>
  <si>
    <t>PM-060</t>
  </si>
  <si>
    <t>PM-061</t>
  </si>
  <si>
    <t>InitiativeMappingID</t>
  </si>
  <si>
    <t>IM-001</t>
  </si>
  <si>
    <t>The software-landscape analysis and interoperability objective address part of the inconsistent data-setup problem, but not the live coding and implementation controls described.</t>
  </si>
  <si>
    <t>Initiative evidence: The source defines a Transport engineering-software standardisation exercise, its objectives, principles, country-analysis actions and planned conclusion/decommissioning steps. Problem evidence (WS1-P006 — Inconsistent data setup across tools): Working with project data across multiple software vendors and standards is difficult because data setups differ across software. Coding must be dynamically updated and shared live between teams and software to ensure consistent and correct implementation. The issue is increasingly important as clients request more information.</t>
  </si>
  <si>
    <t>RTR Software Standardisation Exercise.pptx — https://ramboll.sharepoint.com/sites/DITransportMarket-XXXXIDTLeadershipTeam/_layouts/15/Doc.aspx?sourcedoc=%7B3027A090-10BA-4663-8454-1599D13A753F%7D&amp;file=RTR%20Software%20Standardisation%20Exercise.pptx&amp;action=edit&amp;mobileredirect=true&amp;DefaultItemOpen=1; Problems sheet (WS1-P006)</t>
  </si>
  <si>
    <t>The initiative addresses part of the stated problem, but the evidence does not establish full coverage of all causes, geographies, or delivery contexts.</t>
  </si>
  <si>
    <t>IM-002</t>
  </si>
  <si>
    <t>Standardisation and interoperability analysis can address differing tool conventions, while the source does not establish a unified data strategy or naming model.</t>
  </si>
  <si>
    <t>Initiative evidence: The source defines a Transport engineering-software standardisation exercise, its objectives, principles, country-analysis actions and planned conclusion/decommissioning steps. Problem evidence (WS1-P007 — Inconsistent naming and data structures): Project teams working across disciplines and tools experience inconsistent naming conventions and the absence of a unified data strategy when creating and exchanging objects across BIM models, calculation sheets, and other tools. This results in poor interoperability, fragmented workflows, and an inability to harvest and reuse data across projects.</t>
  </si>
  <si>
    <t>RTR Software Standardisation Exercise.pptx — https://ramboll.sharepoint.com/sites/DITransportMarket-XXXXIDTLeadershipTeam/_layouts/15/Doc.aspx?sourcedoc=%7B3027A090-10BA-4663-8454-1599D13A753F%7D&amp;file=RTR%20Software%20Standardisation%20Exercise.pptx&amp;action=edit&amp;mobileredirect=true&amp;DefaultItemOpen=1; Problems sheet (WS1-P007)</t>
  </si>
  <si>
    <t>IM-003</t>
  </si>
  <si>
    <t>Mapping and rationalising software across service lines and geographies can reduce one source of cross-country handover friction, but not differing processes and local practices overall.</t>
  </si>
  <si>
    <t>Initiative evidence: The source defines a Transport engineering-software standardisation exercise, its objectives, principles, country-analysis actions and planned conclusion/decommissioning steps. Problem evidence (WS1-P011 — Difficult cross-country project handover): Sharing projects across teams, such as RFI to RNO or RNO to RDK, requires time to understand different processes, standards, software, and local practices. This can lead to rework or quality issues.</t>
  </si>
  <si>
    <t>RTR Software Standardisation Exercise.pptx — https://ramboll.sharepoint.com/sites/DITransportMarket-XXXXIDTLeadershipTeam/_layouts/15/Doc.aspx?sourcedoc=%7B3027A090-10BA-4663-8454-1599D13A753F%7D&amp;file=RTR%20Software%20Standardisation%20Exercise.pptx&amp;action=edit&amp;mobileredirect=true&amp;DefaultItemOpen=1; Problems sheet (WS1-P011)</t>
  </si>
  <si>
    <t>IM-004</t>
  </si>
  <si>
    <t>The exercise supports cross-geography software harmonisation, but it does not directly establish or document project standards across business units.</t>
  </si>
  <si>
    <t>Initiative evidence: The source defines a Transport engineering-software standardisation exercise, its objectives, principles, country-analysis actions and planned conclusion/decommissioning steps. Problem evidence (WS1-P012 — Local standards hinder work sharing): Work sharing between business units is difficult because units have their own poorly documented project standards. There is resistance to moving even a service line-coordinated project standard forward.</t>
  </si>
  <si>
    <t>RTR Software Standardisation Exercise.pptx — https://ramboll.sharepoint.com/sites/DITransportMarket-XXXXIDTLeadershipTeam/_layouts/15/Doc.aspx?sourcedoc=%7B3027A090-10BA-4663-8454-1599D13A753F%7D&amp;file=RTR%20Software%20Standardisation%20Exercise.pptx&amp;action=edit&amp;mobileredirect=true&amp;DefaultItemOpen=1; Problems sheet (WS1-P012)</t>
  </si>
  <si>
    <t>IM-005</t>
  </si>
  <si>
    <t>Identifying overlap and rationalisation options can reduce platform proliferation, but the source does not evidence a single project-platform model.</t>
  </si>
  <si>
    <t>Initiative evidence: The source defines a Transport engineering-software standardisation exercise, its objectives, principles, country-analysis actions and planned conclusion/decommissioning steps. Problem evidence (WS1-P014 — Confusion from multiple project platforms): Multiple platforms create confusion in projects. All team members are affected, and project managers struggle to give clear and consistent instructions.</t>
  </si>
  <si>
    <t>RTR Software Standardisation Exercise.pptx — https://ramboll.sharepoint.com/sites/DITransportMarket-XXXXIDTLeadershipTeam/_layouts/15/Doc.aspx?sourcedoc=%7B3027A090-10BA-4663-8454-1599D13A753F%7D&amp;file=RTR%20Software%20Standardisation%20Exercise.pptx&amp;action=edit&amp;mobileredirect=true&amp;DefaultItemOpen=1; Problems sheet (WS1-P014)</t>
  </si>
  <si>
    <t>IM-006</t>
  </si>
  <si>
    <t>Improved interoperability and software standardisation can reduce file-exchange friction, but the initiative does not define exchange processes or native-file agreements.</t>
  </si>
  <si>
    <t>Initiative evidence: The source defines a Transport engineering-software standardisation exercise, its objectives, principles, country-analysis actions and planned conclusion/decommissioning steps. Problem evidence (WS1-P015 — Inefficient file exchange between vendors): Dynamic file sharing between vendors is a constant challenge. It can be labour-intensive, and the exchange frequency is often inadequate unless automated. This can cause misaligned design and time spent updating material. There is no clear process or agreement on formats used between software or on which files are the original/native design files.</t>
  </si>
  <si>
    <t>RTR Software Standardisation Exercise.pptx — https://ramboll.sharepoint.com/sites/DITransportMarket-XXXXIDTLeadershipTeam/_layouts/15/Doc.aspx?sourcedoc=%7B3027A090-10BA-4663-8454-1599D13A753F%7D&amp;file=RTR%20Software%20Standardisation%20Exercise.pptx&amp;action=edit&amp;mobileredirect=true&amp;DefaultItemOpen=1; Problems sheet (WS1-P015)</t>
  </si>
  <si>
    <t>IM-007</t>
  </si>
  <si>
    <t>Direct response</t>
  </si>
  <si>
    <t>The initiative explicitly analyses engineering software overlaps and interoperability as a basis for standardisation, matching the problem of misaligned multi-vendor setups.</t>
  </si>
  <si>
    <t>Initiative evidence: The source defines a Transport engineering-software standardisation exercise, its objectives, principles, country-analysis actions and planned conclusion/decommissioning steps. Problem evidence (WS1-P016 — Misaligned setups across software vendors): Projects using multiple software vendors often lack standard setups, and setups are not aligned between software. Significant project time is spent trying to ensure alignment, and delivered material may not be coherent across disciplines or meet client requirements.</t>
  </si>
  <si>
    <t>RTR Software Standardisation Exercise.pptx — https://ramboll.sharepoint.com/sites/DITransportMarket-XXXXIDTLeadershipTeam/_layouts/15/Doc.aspx?sourcedoc=%7B3027A090-10BA-4663-8454-1599D13A753F%7D&amp;file=RTR%20Software%20Standardisation%20Exercise.pptx&amp;action=edit&amp;mobileredirect=true&amp;DefaultItemOpen=1; Problems sheet (WS1-P016)</t>
  </si>
  <si>
    <t>The documented initiative scope directly aligns with the stated problem mechanism; no ownership, status, or outcome was inferred.</t>
  </si>
  <si>
    <t>IM-008</t>
  </si>
  <si>
    <t>Software harmonisation can reduce fragmented project setups, but the initiative covers the software landscape rather than the full project infrastructure and ways of working.</t>
  </si>
  <si>
    <t>Initiative evidence: The source defines a Transport engineering-software standardisation exercise, its objectives, principles, country-analysis actions and planned conclusion/decommissioning steps. Problem evidence (WS1-P017 — Fragmented project setup and infrastructure): Project teams and disciplines lack harmonised project setup and digital infrastructure when starting projects. Individuals push for different tools, standards, and ways of working, resulting in fragmented setups across projects, reduced work sharing, and an inability to harvest and reuse data from project to project.</t>
  </si>
  <si>
    <t>RTR Software Standardisation Exercise.pptx — https://ramboll.sharepoint.com/sites/DITransportMarket-XXXXIDTLeadershipTeam/_layouts/15/Doc.aspx?sourcedoc=%7B3027A090-10BA-4663-8454-1599D13A753F%7D&amp;file=RTR%20Software%20Standardisation%20Exercise.pptx&amp;action=edit&amp;mobileredirect=true&amp;DefaultItemOpen=1; Problems sheet (WS1-P017)</t>
  </si>
  <si>
    <t>IM-009</t>
  </si>
  <si>
    <t>The standardisation exercise can support consistent tooling choices, but the source does not evidence implementation of project models, folders, or standards.</t>
  </si>
  <si>
    <t>Initiative evidence: The source defines a Transport engineering-software standardisation exercise, its objectives, principles, country-analysis actions and planned conclusion/decommissioning steps. Problem evidence (WS1-P018 — Project standards not fully implemented): The project model, folder structure, and other standards are not fully implemented, resulting in diverse ways of working.</t>
  </si>
  <si>
    <t>RTR Software Standardisation Exercise.pptx — https://ramboll.sharepoint.com/sites/DITransportMarket-XXXXIDTLeadershipTeam/_layouts/15/Doc.aspx?sourcedoc=%7B3027A090-10BA-4663-8454-1599D13A753F%7D&amp;file=RTR%20Software%20Standardisation%20Exercise.pptx&amp;action=edit&amp;mobileredirect=true&amp;DefaultItemOpen=1; Problems sheet (WS1-P018)</t>
  </si>
  <si>
    <t>IM-010</t>
  </si>
  <si>
    <t>The exercise may identify redundant tools and standard vendor capabilities, but the source does not evidence training or adoption of modern modelling features.</t>
  </si>
  <si>
    <t>Initiative evidence: The source defines a Transport engineering-software standardisation exercise, its objectives, principles, country-analysis actions and planned conclusion/decommissioning steps. Problem evidence (WS1-P023 — Underuse of modern modelling features): Transport designers underuse new modelling and drawing features and develop workarounds for problems already solved by vendors, or need entirely new approaches. CAD and Novapoint are used as they were in 2015. Designers manually perform tasks already automated and create models in a hard way, causing quality issues and time concerns.</t>
  </si>
  <si>
    <t>RTR Software Standardisation Exercise.pptx — https://ramboll.sharepoint.com/sites/DITransportMarket-XXXXIDTLeadershipTeam/_layouts/15/Doc.aspx?sourcedoc=%7B3027A090-10BA-4663-8454-1599D13A753F%7D&amp;file=RTR%20Software%20Standardisation%20Exercise.pptx&amp;action=edit&amp;mobileredirect=true&amp;DefaultItemOpen=1; Problems sheet (WS1-P023)</t>
  </si>
  <si>
    <t>IM-011</t>
  </si>
  <si>
    <t>UPE explicitly targets supported production platforms, interoperability and data governance, directly matching inconsistent data setup across tools.</t>
  </si>
  <si>
    <t>Initiative evidence: The source identifies UPE as an initiative, places it in exploration with ongoing work, describes production-platform/data/process scope, and lists active and planned components. Problem evidence (WS1-P006 — Inconsistent data setup across tools): Working with project data across multiple software vendors and standards is difficult because data setups differ across software. Coding must be dynamically updated and shared live between teams and software to ensure consistent and correct implementation. The issue is increasingly important as clients request more information.</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</si>
  <si>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(WS1-P006)</t>
  </si>
  <si>
    <t>IM-012</t>
  </si>
  <si>
    <t>UPE's data-governance and interoperability scope directly addresses fragmented structures and poor reuse across production tools.</t>
  </si>
  <si>
    <t>Initiative evidence: The source identifies UPE as an initiative, places it in exploration with ongoing work, describes production-platform/data/process scope, and lists active and planned components. Problem evidence (WS1-P007 — Inconsistent naming and data structures): Project teams working across disciplines and tools experience inconsistent naming conventions and the absence of a unified data strategy when creating and exchanging objects across BIM models, calculation sheets, and other tools. This results in poor interoperability, fragmented workflows, and an inability to harvest and reuse data across projects.</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</si>
  <si>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(WS1-P007)</t>
  </si>
  <si>
    <t>IM-013</t>
  </si>
  <si>
    <t>Data governance and data-centric delivery are relevant to change control, but the source does not specifically evidence rigorous tracking, validation, or communication controls.</t>
  </si>
  <si>
    <t>Initiative evidence: The source identifies UPE as an initiative, places it in exploration with ongoing work, describes production-platform/data/process scope, and lists active and planned components. Problem evidence (WS1-P010 — Weak change tracking in data-centric workflows): Project teams managing data-centric workflows lack rigorous change tracking, validation, and change management when handling design data, requirements, and deliverables across multiple parties and tools. This results in chaotic updates, unvalidated changes propagating through projects, and reduced confidence in data quality and deliverables.</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</si>
  <si>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(WS1-P010)</t>
  </si>
  <si>
    <t>IM-014</t>
  </si>
  <si>
    <t>Aligned production platforms and knowledge can reduce cross-country handover friction, while local processes and practices remain outside the evidenced scope.</t>
  </si>
  <si>
    <t>Initiative evidence: The source identifies UPE as an initiative, places it in exploration with ongoing work, describes production-platform/data/process scope, and lists active and planned components. Problem evidence (WS1-P011 — Difficult cross-country project handover): Sharing projects across teams, such as RFI to RNO or RNO to RDK, requires time to understand different processes, standards, software, and local practices. This can lead to rework or quality issues.</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</si>
  <si>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(WS1-P011)</t>
  </si>
  <si>
    <t>IM-015</t>
  </si>
  <si>
    <t>Global production knowledge and aligned environments can support shared standards, but the source does not evidence resolution of local documentation or resistance.</t>
  </si>
  <si>
    <t>Initiative evidence: The source identifies UPE as an initiative, places it in exploration with ongoing work, describes production-platform/data/process scope, and lists active and planned components. Problem evidence (WS1-P012 — Local standards hinder work sharing): Work sharing between business units is difficult because units have their own poorly documented project standards. There is resistance to moving even a service line-coordinated project standard forward.</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</si>
  <si>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(WS1-P012)</t>
  </si>
  <si>
    <t>IM-016</t>
  </si>
  <si>
    <t>Production knowledge is within UPE scope, but the source does not establish a single point of entry for support, education, and ways of working.</t>
  </si>
  <si>
    <t>Initiative evidence: The source identifies UPE as an initiative, places it in exploration with ongoing work, describes production-platform/data/process scope, and lists active and planned components. Problem evidence (WS1-P013 — Scattered guidance and support information): Information about ways of working, software support, education, etc. is scattered and unstructured. This makes it difficult to onboard new staff and establish standardised ways of working.</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</si>
  <si>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(WS1-P013)</t>
  </si>
  <si>
    <t>IM-017</t>
  </si>
  <si>
    <t>UPE explicitly seeks aligned supported production platforms and streamlined project environments, directly addressing confusion from multiple platforms.</t>
  </si>
  <si>
    <t>Initiative evidence: The source identifies UPE as an initiative, places it in exploration with ongoing work, describes production-platform/data/process scope, and lists active and planned components. Problem evidence (WS1-P014 — Confusion from multiple project platforms): Multiple platforms create confusion in projects. All team members are affected, and project managers struggle to give clear and consistent instructions.</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</si>
  <si>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(WS1-P014)</t>
  </si>
  <si>
    <t>IM-018</t>
  </si>
  <si>
    <t>Interoperability and streamlined production environments directly address recurring cross-vendor exchange friction, although detailed file agreements still require definition.</t>
  </si>
  <si>
    <t>Initiative evidence: The source identifies UPE as an initiative, places it in exploration with ongoing work, describes production-platform/data/process scope, and lists active and planned components. Problem evidence (WS1-P015 — Inefficient file exchange between vendors): Dynamic file sharing between vendors is a constant challenge. It can be labour-intensive, and the exchange frequency is often inadequate unless automated. This can cause misaligned design and time spent updating material. There is no clear process or agreement on formats used between software or on which files are the original/native design files.</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</si>
  <si>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(WS1-P015)</t>
  </si>
  <si>
    <t>IM-019</t>
  </si>
  <si>
    <t>Aligning supported platforms and interoperability directly addresses standard setups that are not aligned between vendors.</t>
  </si>
  <si>
    <t>Initiative evidence: The source identifies UPE as an initiative, places it in exploration with ongoing work, describes production-platform/data/process scope, and lists active and planned components. Problem evidence (WS1-P016 — Misaligned setups across software vendors): Projects using multiple software vendors often lack standard setups, and setups are not aligned between software. Significant project time is spent trying to ensure alignment, and delivered material may not be coherent across disciplines or meet client requirements.</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</si>
  <si>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(WS1-P016)</t>
  </si>
  <si>
    <t>IM-020</t>
  </si>
  <si>
    <t>Streamlined project environments and aligned production platforms directly respond to fragmented project setup and infrastructure.</t>
  </si>
  <si>
    <t>Initiative evidence: The source identifies UPE as an initiative, places it in exploration with ongoing work, describes production-platform/data/process scope, and lists active and planned components. Problem evidence (WS1-P017 — Fragmented project setup and infrastructure): Project teams and disciplines lack harmonised project setup and digital infrastructure when starting projects. Individuals push for different tools, standards, and ways of working, resulting in fragmented setups across projects, reduced work sharing, and an inability to harvest and reuse data from project to project.</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</si>
  <si>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(WS1-P017)</t>
  </si>
  <si>
    <t>IM-021</t>
  </si>
  <si>
    <t>UPE's production-process, knowledge, and environment alignment directly supports implementation of consistent project standards and ways of working.</t>
  </si>
  <si>
    <t>Initiative evidence: The source identifies UPE as an initiative, places it in exploration with ongoing work, describes production-platform/data/process scope, and lists active and planned components. Problem evidence (WS1-P018 — Project standards not fully implemented): The project model, folder structure, and other standards are not fully implemented, resulting in diverse ways of working.</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</si>
  <si>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(WS1-P018)</t>
  </si>
  <si>
    <t>IM-022</t>
  </si>
  <si>
    <t>A unified environment can reduce coordination friction across disciplines and units, but multidisciplinary management is broader than the evidenced initiative scope.</t>
  </si>
  <si>
    <t>Initiative evidence: The source identifies UPE as an initiative, places it in exploration with ongoing work, describes production-platform/data/process scope, and lists active and planned components. Problem evidence (WS1-P019 — Coordination challenges in multidisciplinary projects): Multidisciplinary projects are difficult to manage. Coordination becomes challenging when work is shared between different business units.</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</si>
  <si>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(WS1-P019)</t>
  </si>
  <si>
    <t>IM-023</t>
  </si>
  <si>
    <t>Shared production knowledge can improve cross-country exchange, but dedicated innovation-sharing arenas and tender use are not explicitly evidenced.</t>
  </si>
  <si>
    <t>Initiative evidence: The source identifies UPE as an initiative, places it in exploration with ongoing work, describes production-platform/data/process scope, and lists active and planned components. Problem evidence (WS1-P020 — Limited cross-country innovation sharing): Experience sharing across countries is poor for innovative solutions that could strengthen important tenders. There are few dedicated arenas for sharing innovative solutions or ways of working across countries.</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</si>
  <si>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(WS1-P020)</t>
  </si>
  <si>
    <t>IM-024</t>
  </si>
  <si>
    <t>Aligned platforms and production knowledge can reduce competence variation, but the source does not evidence a targeted competence programme for digital requirements.</t>
  </si>
  <si>
    <t>Initiative evidence: The source identifies UPE as an initiative, places it in exploration with ongoing work, describes production-platform/data/process scope, and lists active and planned components. Problem evidence (WS1-P024 — Uneven digital-requirements competence): Knowledge and competence related to digital requirements vary across disciplines and countries in Norwegian projects. Some disciplines are not always familiar with required formats, information content, or tools used for collaboration.</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</si>
  <si>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(WS1-P024)</t>
  </si>
  <si>
    <t>IM-025</t>
  </si>
  <si>
    <t>Supported platforms and production knowledge can improve delivery capability, but the initiative does not explicitly evidence skills development for all delivery teams or REC.</t>
  </si>
  <si>
    <t>Initiative evidence: The source identifies UPE as an initiative, places it in exploration with ongoing work, describes production-platform/data/process scope, and lists active and planned components. Problem evidence (WS1-P026 — Delivery teams including REC lack correct skills to deliver digital outputs (models, drawings and data principally) right first time): Currently project performance is impacted by the lack of skills within the business in the digital production space. This is causing a "silent drain" on projects as we're consistently spending more time and money on outputs than planned during tender without the ability to go back to clients to request additional fee due to being Ramboll error. This is impacting project performance on a large percentage of projects.</t>
  </si>
  <si>
    <t>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(WS1-P026)</t>
  </si>
  <si>
    <t>IM-026</t>
  </si>
  <si>
    <t>Redesigning document-management processes and implementing a fit-for-purpose DMS directly addresses control of document changes, validation, and adoption.</t>
  </si>
  <si>
    <t>Initiative evidence: The source explicitly calls Transforming Document Management a project/initiative and states its three goals: process revision, fit-for-purpose DMS implementation and behavioural change. Problem evidence (WS1-P010 — Weak change tracking in data-centric workflows): Project teams managing data-centric workflows lack rigorous change tracking, validation, and change management when handling design data, requirements, and deliverables across multiple parties and tools. This results in chaotic updates, unvalidated changes propagating through projects, and reduced confidence in data quality and deliverables.</t>
  </si>
  <si>
    <t>Introduction to Transforming Document Management project.pptx — https://ramboll.sharepoint.com/sites/InformationabouttheInsightsintoDMSproject/_layouts/15/Doc.aspx?sourcedoc=%7B2C45230D-6298-4E39-B5B2-486433737999%7D&amp;file=Introduction%20to%20Transforming%20Document%20Management%20project.pptx&amp;action=edit&amp;mobileredirect=true&amp;DefaultItemOpen=1; Problems sheet (WS1-P010)</t>
  </si>
  <si>
    <t>IM-027</t>
  </si>
  <si>
    <t>A fit-for-purpose DMS can structure document-management guidance, but the initiative does not cover all software support, education, or onboarding information.</t>
  </si>
  <si>
    <t>Initiative evidence: The source explicitly calls Transforming Document Management a project/initiative and states its three goals: process revision, fit-for-purpose DMS implementation and behavioural change. Problem evidence (WS1-P013 — Scattered guidance and support information): Information about ways of working, software support, education, etc. is scattered and unstructured. This makes it difficult to onboard new staff and establish standardised ways of working.</t>
  </si>
  <si>
    <t>Introduction to Transforming Document Management project.pptx — https://ramboll.sharepoint.com/sites/InformationabouttheInsightsintoDMSproject/_layouts/15/Doc.aspx?sourcedoc=%7B2C45230D-6298-4E39-B5B2-486433737999%7D&amp;file=Introduction%20to%20Transforming%20Document%20Management%20project.pptx&amp;action=edit&amp;mobileredirect=true&amp;DefaultItemOpen=1; Problems sheet (WS1-P013)</t>
  </si>
  <si>
    <t>IM-028</t>
  </si>
  <si>
    <t>A defined DMS can reduce document-platform ambiguity, but the problem concerns multiple project platforms beyond document management.</t>
  </si>
  <si>
    <t>Initiative evidence: The source explicitly calls Transforming Document Management a project/initiative and states its three goals: process revision, fit-for-purpose DMS implementation and behavioural change. Problem evidence (WS1-P014 — Confusion from multiple project platforms): Multiple platforms create confusion in projects. All team members are affected, and project managers struggle to give clear and consistent instructions.</t>
  </si>
  <si>
    <t>Introduction to Transforming Document Management project.pptx — https://ramboll.sharepoint.com/sites/InformationabouttheInsightsintoDMSproject/_layouts/15/Doc.aspx?sourcedoc=%7B2C45230D-6298-4E39-B5B2-486433737999%7D&amp;file=Introduction%20to%20Transforming%20Document%20Management%20project.pptx&amp;action=edit&amp;mobileredirect=true&amp;DefaultItemOpen=1; Problems sheet (WS1-P014)</t>
  </si>
  <si>
    <t>IM-029</t>
  </si>
  <si>
    <t>Improved document-management processes can support controlled file exchange, but vendor interoperability and native-file agreements are not explicitly in scope.</t>
  </si>
  <si>
    <t>Initiative evidence: The source explicitly calls Transforming Document Management a project/initiative and states its three goals: process revision, fit-for-purpose DMS implementation and behavioural change. Problem evidence (WS1-P015 — Inefficient file exchange between vendors): Dynamic file sharing between vendors is a constant challenge. It can be labour-intensive, and the exchange frequency is often inadequate unless automated. This can cause misaligned design and time spent updating material. There is no clear process or agreement on formats used between software or on which files are the original/native design files.</t>
  </si>
  <si>
    <t>Introduction to Transforming Document Management project.pptx — https://ramboll.sharepoint.com/sites/InformationabouttheInsightsintoDMSproject/_layouts/15/Doc.aspx?sourcedoc=%7B2C45230D-6298-4E39-B5B2-486433737999%7D&amp;file=Introduction%20to%20Transforming%20Document%20Management%20project.pptx&amp;action=edit&amp;mobileredirect=true&amp;DefaultItemOpen=1; Problems sheet (WS1-P015)</t>
  </si>
  <si>
    <t>IM-030</t>
  </si>
  <si>
    <t>A common DMS and revised processes can form part of harmonised project infrastructure, but the initiative does not cover the entire project setup.</t>
  </si>
  <si>
    <t>Initiative evidence: The source explicitly calls Transforming Document Management a project/initiative and states its three goals: process revision, fit-for-purpose DMS implementation and behavioural change. Problem evidence (WS1-P017 — Fragmented project setup and infrastructure): Project teams and disciplines lack harmonised project setup and digital infrastructure when starting projects. Individuals push for different tools, standards, and ways of working, resulting in fragmented setups across projects, reduced work sharing, and an inability to harvest and reuse data from project to project.</t>
  </si>
  <si>
    <t>Introduction to Transforming Document Management project.pptx — https://ramboll.sharepoint.com/sites/InformationabouttheInsightsintoDMSproject/_layouts/15/Doc.aspx?sourcedoc=%7B2C45230D-6298-4E39-B5B2-486433737999%7D&amp;file=Introduction%20to%20Transforming%20Document%20Management%20project.pptx&amp;action=edit&amp;mobileredirect=true&amp;DefaultItemOpen=1; Problems sheet (WS1-P017)</t>
  </si>
  <si>
    <t>IM-031</t>
  </si>
  <si>
    <t>Process revision, system implementation, and behavioural adoption can improve standards implementation in document management, but not all project standards.</t>
  </si>
  <si>
    <t>Initiative evidence: The source explicitly calls Transforming Document Management a project/initiative and states its three goals: process revision, fit-for-purpose DMS implementation and behavioural change. Problem evidence (WS1-P018 — Project standards not fully implemented): The project model, folder structure, and other standards are not fully implemented, resulting in diverse ways of working.</t>
  </si>
  <si>
    <t>Introduction to Transforming Document Management project.pptx — https://ramboll.sharepoint.com/sites/InformationabouttheInsightsintoDMSproject/_layouts/15/Doc.aspx?sourcedoc=%7B2C45230D-6298-4E39-B5B2-486433737999%7D&amp;file=Introduction%20to%20Transforming%20Document%20Management%20project.pptx&amp;action=edit&amp;mobileredirect=true&amp;DefaultItemOpen=1; Problems sheet (WS1-P018)</t>
  </si>
  <si>
    <t>IM-032</t>
  </si>
  <si>
    <t>The initiative explicitly explores tooling, enablement, governance, and safe supported pilots for citizen development, directly addressing inconsistent AI and automation practice.</t>
  </si>
  <si>
    <t>Initiative evidence: The email explicitly establishes Citizen Development work within DD&amp;P and a survey/discovery-to-pilot approach; the UPE status later states that a Citizen Developer Toolkit POD was activated. Problem evidence (WS1-P001 — Inconsistent use of AI and automation): AI and automatization is used non-systematically among different disciplines and depends on individuals. AI tools are used by individuals and some specialist communities, but there is no common way to quality assure, share, or scale working methods. The level of maturity also varies between disciplines.</t>
  </si>
  <si>
    <t>Starting work on Citizen Development in DD&amp;P — Outlook item AAMkADFkNTVkNTdkLTQ2NzktNGUwMy04ZjUwLWJjOGU5NWVmZmVlOABGAAAAAAAwqbqR6chTRqrGrbICvYZiBwAmAYPWE1oSQJIchgDHMYYlAAAFjIT4AAAGgHAtU47mQbWmGDo%2bojP%2bAAfqK8P6AAA%3d; supporting source: 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(WS1-P001)</t>
  </si>
  <si>
    <t>IM-033</t>
  </si>
  <si>
    <t>Tooling and enablement pilots may reduce development barriers, but a standard publishing and scaling pathway is not yet evidenced.</t>
  </si>
  <si>
    <t>Initiative evidence: The email explicitly establishes Citizen Development work within DD&amp;P and a survey/discovery-to-pilot approach; the UPE status later states that a Citizen Developer Toolkit POD was activated. Problem evidence (WS1-P002 — Barriers to scaling internally developed tools): Internal tool development is limited by recurring factors: there is no clear way to standardise and publish a tool developed for one project, so tools are often forgotten; and the use of AI to script solutions is limited because available AI tools are not permitted for this purpose, even though scripting is performed on project material.</t>
  </si>
  <si>
    <t>Starting work on Citizen Development in DD&amp;P — Outlook item AAMkADFkNTVkNTdkLTQ2NzktNGUwMy04ZjUwLWJjOGU5NWVmZmVlOABGAAAAAAAwqbqR6chTRqrGrbICvYZiBwAmAYPWE1oSQJIchgDHMYYlAAAFjIT4AAAGgHAtU47mQbWmGDo%2bojP%2bAAfqK8P6AAA%3d; supporting source: 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(WS1-P002)</t>
  </si>
  <si>
    <t>IM-034</t>
  </si>
  <si>
    <t>Governance and safe supported citizen-development approaches directly address fragmented, duplicated, and uncoordinated AI tool creation.</t>
  </si>
  <si>
    <t>Initiative evidence: The email explicitly establishes Citizen Development work within DD&amp;P and a survey/discovery-to-pilot approach; the UPE status later states that a Citizen Developer Toolkit POD was activated. Problem evidence (WS1-P003 — Uncoordinated citizen-developed AI tools): Citizen developers and teams across the organisation use a fragmented and uncoordinated approach to building tools with AI, such as Copilot. Solutions are developed individually without shared standards, quality control, or integration with legacy systems, resulting in duplicated, low-quality, and incompatible tools that are difficult to share, integrate, and maintain.</t>
  </si>
  <si>
    <t>Starting work on Citizen Development in DD&amp;P — Outlook item AAMkADFkNTVkNTdkLTQ2NzktNGUwMy04ZjUwLWJjOGU5NWVmZmVlOABGAAAAAAAwqbqR6chTRqrGrbICvYZiBwAmAYPWE1oSQJIchgDHMYYlAAAFjIT4AAAGgHAtU47mQbWmGDo%2bojP%2bAAfqK8P6AAA%3d; supporting source: 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(WS1-P003)</t>
  </si>
  <si>
    <t>IM-035</t>
  </si>
  <si>
    <t>Governance and supported pilots can help move tools beyond individual creation, but a complete managed-product handover and ownership model is not evidenced.</t>
  </si>
  <si>
    <t>Initiative evidence: The email explicitly establishes Citizen Development work within DD&amp;P and a survey/discovery-to-pilot approach; the UPE status later states that a Citizen Developer Toolkit POD was activated. Problem evidence (WS1-P021 — No path from prototype to managed product): Citizen developers and teams that could benefit from their tools lack infrastructure and support to transition tools from idea or minimum viable product into properly documented, quality-assured, maintained, and owned products. When a project ends, developers have no time, mandate, or pathway to hand over tools, resulting in valuable tools being abandoned, stuck with reluctant owners, or never scaled beyond the original project.</t>
  </si>
  <si>
    <t>Starting work on Citizen Development in DD&amp;P — Outlook item AAMkADFkNTVkNTdkLTQ2NzktNGUwMy04ZjUwLWJjOGU5NWVmZmVlOABGAAAAAAAwqbqR6chTRqrGrbICvYZiBwAmAYPWE1oSQJIchgDHMYYlAAAFjIT4AAAGgHAtU47mQbWmGDo%2bojP%2bAAfqK8P6AAA%3d; supporting source: 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(WS1-P021)</t>
  </si>
  <si>
    <t>IM-036</t>
  </si>
  <si>
    <t>Enablement and governance can improve understandability and reuse, but the source does not evidence reusable documentation or localisation mechanisms.</t>
  </si>
  <si>
    <t>Initiative evidence: The email explicitly establishes Citizen Development work within DD&amp;P and a survey/discovery-to-pilot approach; the UPE status later states that a Citizen Developer Toolkit POD was activated. Problem evidence (WS1-P022 — Automation difficult to understand and reuse): It is difficult to understand or reuse automation created by another team. Automation also requires modification for specific projects or countries, and other team members may struggle to modify it.</t>
  </si>
  <si>
    <t>Starting work on Citizen Development in DD&amp;P — Outlook item AAMkADFkNTVkNTdkLTQ2NzktNGUwMy04ZjUwLWJjOGU5NWVmZmVlOABGAAAAAAAwqbqR6chTRqrGrbICvYZiBwAmAYPWE1oSQJIchgDHMYYlAAAFjIT4AAAGgHAtU47mQbWmGDo%2bojP%2bAAfqK8P6AAA%3d; supporting source: Unified Production Environment - Steer Co#1 Setting the scene for the way forward.pptx — https://ramboll-my.sharepoint.com/personal/david_thomson_ramboll_com/_layouts/15/Doc.aspx?sourcedoc=%7B605CB1B1-B756-4011-B161-643146F3CA97%7D&amp;file=Unified%20Production%20Environment%20-%20Steer%20Co%231%20Setting%20the%20scene%20for%20the%20way%20forward.pptx&amp;action=edit&amp;mobileredirect=true&amp;DefaultItemOpen=1; Problems sheet (WS1-P022)</t>
  </si>
  <si>
    <t>IM-037</t>
  </si>
  <si>
    <t>A live governed platform supports sharing and scaling automation methods, but it does not cover all AI usage, quality assurance, or discipline maturity.</t>
  </si>
  <si>
    <t>Initiative evidence: Internal sources identify the platform, its Product Owner, completed development/UAT improvements and the next scaling/adoption phase. Problem evidence (WS1-P001 — Inconsistent use of AI and automation): AI and automatization is used non-systematically among different disciplines and depends on individuals. AI tools are used by individuals and some specialist communities, but there is no common way to quality assure, share, or scale working methods. The level of maturity also varies between disciplines.</t>
  </si>
  <si>
    <t>Re: Can you point us in the right direction? — Outlook item AAMkADFkNTVkNTdkLTQ2NzktNGUwMy04ZjUwLWJjOGU5NWVmZmVlOABGAAAAAAAwqbqR6chTRqrGrbICvYZiBwAmAYPWE1oSQJIchgDHMYYlAAAFjIT4AAAGgHAtU47mQbWmGDo%2bojP%2bAAmqCfmGAAA%3d; Re: Topic for discussion &amp; my recommendation: Proceed with Meerkat Town and Script Sharing Platform rollout — Outlook item AAMkADFkNTVkNTdkLTQ2NzktNGUwMy04ZjUwLWJjOGU5NWVmZmVlOABGAAAAAAAwqbqR6chTRqrGrbICvYZiBwAmAYPWE1oSQJIchgDHMYYlAAAFjIT4AAAGgHAtU47mQbWmGDo%2bojP%2bAAozvRC3AAA%3d; Problems sheet (WS1-P001)</t>
  </si>
  <si>
    <t>IM-038</t>
  </si>
  <si>
    <t>The governed sharing environment directly provides a route to publish, discover, reuse, and scale internally developed automation assets.</t>
  </si>
  <si>
    <t>Initiative evidence: Internal sources identify the platform, its Product Owner, completed development/UAT improvements and the next scaling/adoption phase. Problem evidence (WS1-P002 — Barriers to scaling internally developed tools): Internal tool development is limited by recurring factors: there is no clear way to standardise and publish a tool developed for one project, so tools are often forgotten; and the use of AI to script solutions is limited because available AI tools are not permitted for this purpose, even though scripting is performed on project material.</t>
  </si>
  <si>
    <t>Re: Can you point us in the right direction? — Outlook item AAMkADFkNTVkNTdkLTQ2NzktNGUwMy04ZjUwLWJjOGU5NWVmZmVlOABGAAAAAAAwqbqR6chTRqrGrbICvYZiBwAmAYPWE1oSQJIchgDHMYYlAAAFjIT4AAAGgHAtU47mQbWmGDo%2bojP%2bAAmqCfmGAAA%3d; Re: Topic for discussion &amp; my recommendation: Proceed with Meerkat Town and Script Sharing Platform rollout — Outlook item AAMkADFkNTVkNTdkLTQ2NzktNGUwMy04ZjUwLWJjOGU5NWVmZmVlOABGAAAAAAAwqbqR6chTRqrGrbICvYZiBwAmAYPWE1oSQJIchgDHMYYlAAAFjIT4AAAGgHAtU47mQbWmGDo%2bojP%2bAAozvRC3AAA%3d; Problems sheet (WS1-P002)</t>
  </si>
  <si>
    <t>IM-039</t>
  </si>
  <si>
    <t>Shared governed assets can reduce duplicated citizen-developed tools, but the platform does not by itself establish organisation-wide AI standards or legacy integration.</t>
  </si>
  <si>
    <t>Initiative evidence: Internal sources identify the platform, its Product Owner, completed development/UAT improvements and the next scaling/adoption phase. Problem evidence (WS1-P003 — Uncoordinated citizen-developed AI tools): Citizen developers and teams across the organisation use a fragmented and uncoordinated approach to building tools with AI, such as Copilot. Solutions are developed individually without shared standards, quality control, or integration with legacy systems, resulting in duplicated, low-quality, and incompatible tools that are difficult to share, integrate, and maintain.</t>
  </si>
  <si>
    <t>Re: Can you point us in the right direction? — Outlook item AAMkADFkNTVkNTdkLTQ2NzktNGUwMy04ZjUwLWJjOGU5NWVmZmVlOABGAAAAAAAwqbqR6chTRqrGrbICvYZiBwAmAYPWE1oSQJIchgDHMYYlAAAFjIT4AAAGgHAtU47mQbWmGDo%2bojP%2bAAmqCfmGAAA%3d; Re: Topic for discussion &amp; my recommendation: Proceed with Meerkat Town and Script Sharing Platform rollout — Outlook item AAMkADFkNTVkNTdkLTQ2NzktNGUwMy04ZjUwLWJjOGU5NWVmZmVlOABGAAAAAAAwqbqR6chTRqrGrbICvYZiBwAmAYPWE1oSQJIchgDHMYYlAAAFjIT4AAAGgHAtU47mQbWmGDo%2bojP%2bAAozvRC3AAA%3d; Problems sheet (WS1-P003)</t>
  </si>
  <si>
    <t>IM-040</t>
  </si>
  <si>
    <t>A shared platform can improve cross-country visibility of reusable innovation, but tender-focused sharing arenas are not explicitly evidenced.</t>
  </si>
  <si>
    <t>Initiative evidence: Internal sources identify the platform, its Product Owner, completed development/UAT improvements and the next scaling/adoption phase. Problem evidence (WS1-P020 — Limited cross-country innovation sharing): Experience sharing across countries is poor for innovative solutions that could strengthen important tenders. There are few dedicated arenas for sharing innovative solutions or ways of working across countries.</t>
  </si>
  <si>
    <t>Re: Can you point us in the right direction? — Outlook item AAMkADFkNTVkNTdkLTQ2NzktNGUwMy04ZjUwLWJjOGU5NWVmZmVlOABGAAAAAAAwqbqR6chTRqrGrbICvYZiBwAmAYPWE1oSQJIchgDHMYYlAAAFjIT4AAAGgHAtU47mQbWmGDo%2bojP%2bAAmqCfmGAAA%3d; Re: Topic for discussion &amp; my recommendation: Proceed with Meerkat Town and Script Sharing Platform rollout — Outlook item AAMkADFkNTVkNTdkLTQ2NzktNGUwMy04ZjUwLWJjOGU5NWVmZmVlOABGAAAAAAAwqbqR6chTRqrGrbICvYZiBwAmAYPWE1oSQJIchgDHMYYlAAAFjIT4AAAGgHAtU47mQbWmGDo%2bojP%2bAAozvRC3AAA%3d; Problems sheet (WS1-P020)</t>
  </si>
  <si>
    <t>IM-041</t>
  </si>
  <si>
    <t>The live governed environment and scaling phase directly create infrastructure for documented, reusable automation assets beyond an originating project.</t>
  </si>
  <si>
    <t>Initiative evidence: Internal sources identify the platform, its Product Owner, completed development/UAT improvements and the next scaling/adoption phase. Problem evidence (WS1-P021 — No path from prototype to managed product): Citizen developers and teams that could benefit from their tools lack infrastructure and support to transition tools from idea or minimum viable product into properly documented, quality-assured, maintained, and owned products. When a project ends, developers have no time, mandate, or pathway to hand over tools, resulting in valuable tools being abandoned, stuck with reluctant owners, or never scaled beyond the original project.</t>
  </si>
  <si>
    <t>Re: Can you point us in the right direction? — Outlook item AAMkADFkNTVkNTdkLTQ2NzktNGUwMy04ZjUwLWJjOGU5NWVmZmVlOABGAAAAAAAwqbqR6chTRqrGrbICvYZiBwAmAYPWE1oSQJIchgDHMYYlAAAFjIT4AAAGgHAtU47mQbWmGDo%2bojP%2bAAmqCfmGAAA%3d; Re: Topic for discussion &amp; my recommendation: Proceed with Meerkat Town and Script Sharing Platform rollout — Outlook item AAMkADFkNTVkNTdkLTQ2NzktNGUwMy04ZjUwLWJjOGU5NWVmZmVlOABGAAAAAAAwqbqR6chTRqrGrbICvYZiBwAmAYPWE1oSQJIchgDHMYYlAAAFjIT4AAAGgHAtU47mQbWmGDo%2bojP%2bAAozvRC3AAA%3d; Problems sheet (WS1-P021)</t>
  </si>
  <si>
    <t>IM-042</t>
  </si>
  <si>
    <t>Sharing and reusing scripts, plugins, and visual-programming solutions directly responds to difficulty finding and reusing another team's automation.</t>
  </si>
  <si>
    <t>Initiative evidence: Internal sources identify the platform, its Product Owner, completed development/UAT improvements and the next scaling/adoption phase. Problem evidence (WS1-P022 — Automation difficult to understand and reuse): It is difficult to understand or reuse automation created by another team. Automation also requires modification for specific projects or countries, and other team members may struggle to modify it.</t>
  </si>
  <si>
    <t>Re: Can you point us in the right direction? — Outlook item AAMkADFkNTVkNTdkLTQ2NzktNGUwMy04ZjUwLWJjOGU5NWVmZmVlOABGAAAAAAAwqbqR6chTRqrGrbICvYZiBwAmAYPWE1oSQJIchgDHMYYlAAAFjIT4AAAGgHAtU47mQbWmGDo%2bojP%2bAAmqCfmGAAA%3d; Re: Topic for discussion &amp; my recommendation: Proceed with Meerkat Town and Script Sharing Platform rollout — Outlook item AAMkADFkNTVkNTdkLTQ2NzktNGUwMy04ZjUwLWJjOGU5NWVmZmVlOABGAAAAAAAwqbqR6chTRqrGrbICvYZiBwAmAYPWE1oSQJIchgDHMYYlAAAFjIT4AAAGgHAtU47mQbWmGDo%2bojP%2bAAozvRC3AAA%3d; Problems sheet (WS1-P022)</t>
  </si>
  <si>
    <t>IM-043</t>
  </si>
  <si>
    <t>Software governance and request workflows can support controlled tooling, but the workstream is not specifically a publishing platform for internally developed tools.</t>
  </si>
  <si>
    <t>Initiative evidence: The Tech Task Force update explicitly identifies the workstream, states that execution had started and enumerates the four improvement areas underway. Problem evidence (WS1-P002 — Barriers to scaling internally developed tools): Internal tool development is limited by recurring factors: there is no clear way to standardise and publish a tool developed for one project, so tools are often forgotten; and the use of AI to script solutions is limited because available AI tools are not permitted for this purpose, even though scripting is performed on project material.</t>
  </si>
  <si>
    <t>FW: Tech task force: update for Tech LT — Outlook item AAMkADFkNTVkNTdkLTQ2NzktNGUwMy04ZjUwLWJjOGU5NWVmZmVlOABGAAAAAAAwqbqR6chTRqrGrbICvYZiBwAmAYPWE1oSQJIchgDHMYYlAAAFjIT6AAAGgHAtU47mQbWmGDo%2bojP%2bAAUPEC%2bEAAA%3d; Software Management Processes and Portal Overview.pptx — https://ramboll.sharepoint.com/sites/BoostingTechProfitability/_layouts/15/Doc.aspx?sourcedoc=%7B7684EA9F-9243-4274-BB43-0AF9E0008607%7D&amp;file=Software%20Management%20Processes%20and%20Portal%20Overview.pptx&amp;action=edit&amp;mobileredirect=true&amp;DefaultItemOpen=1; Problems sheet (WS1-P002)</t>
  </si>
  <si>
    <t>IM-044</t>
  </si>
  <si>
    <t>Improved employee software journeys, requests, and production-support flows directly address scattered software support and access information.</t>
  </si>
  <si>
    <t>Initiative evidence: The Tech Task Force update explicitly identifies the workstream, states that execution had started and enumerates the four improvement areas underway. Problem evidence (WS1-P013 — Scattered guidance and support information): Information about ways of working, software support, education, etc. is scattered and unstructured. This makes it difficult to onboard new staff and establish standardised ways of working.</t>
  </si>
  <si>
    <t>FW: Tech task force: update for Tech LT — Outlook item AAMkADFkNTVkNTdkLTQ2NzktNGUwMy04ZjUwLWJjOGU5NWVmZmVlOABGAAAAAAAwqbqR6chTRqrGrbICvYZiBwAmAYPWE1oSQJIchgDHMYYlAAAFjIT6AAAGgHAtU47mQbWmGDo%2bojP%2bAAUPEC%2bEAAA%3d; Software Management Processes and Portal Overview.pptx — https://ramboll.sharepoint.com/sites/BoostingTechProfitability/_layouts/15/Doc.aspx?sourcedoc=%7B7684EA9F-9243-4274-BB43-0AF9E0008607%7D&amp;file=Software%20Management%20Processes%20and%20Portal%20Overview.pptx&amp;action=edit&amp;mobileredirect=true&amp;DefaultItemOpen=1; Problems sheet (WS1-P013)</t>
  </si>
  <si>
    <t>IM-045</t>
  </si>
  <si>
    <t>Software-portfolio governance and employee journeys can reduce confusion, but the source does not establish consolidation of project platforms.</t>
  </si>
  <si>
    <t>Initiative evidence: The Tech Task Force update explicitly identifies the workstream, states that execution had started and enumerates the four improvement areas underway. Problem evidence (WS1-P014 — Confusion from multiple project platforms): Multiple platforms create confusion in projects. All team members are affected, and project managers struggle to give clear and consistent instructions.</t>
  </si>
  <si>
    <t>FW: Tech task force: update for Tech LT — Outlook item AAMkADFkNTVkNTdkLTQ2NzktNGUwMy04ZjUwLWJjOGU5NWVmZmVlOABGAAAAAAAwqbqR6chTRqrGrbICvYZiBwAmAYPWE1oSQJIchgDHMYYlAAAFjIT6AAAGgHAtU47mQbWmGDo%2bojP%2bAAUPEC%2bEAAA%3d; Software Management Processes and Portal Overview.pptx — https://ramboll.sharepoint.com/sites/BoostingTechProfitability/_layouts/15/Doc.aspx?sourcedoc=%7B7684EA9F-9243-4274-BB43-0AF9E0008607%7D&amp;file=Software%20Management%20Processes%20and%20Portal%20Overview.pptx&amp;action=edit&amp;mobileredirect=true&amp;DefaultItemOpen=1; Problems sheet (WS1-P014)</t>
  </si>
  <si>
    <t>IM-046</t>
  </si>
  <si>
    <t>Governance and request workflows can support ownership and transition, but a full prototype-to-managed-product pathway is not explicitly evidenced.</t>
  </si>
  <si>
    <t>Initiative evidence: The Tech Task Force update explicitly identifies the workstream, states that execution had started and enumerates the four improvement areas underway. Problem evidence (WS1-P021 — No path from prototype to managed product): Citizen developers and teams that could benefit from their tools lack infrastructure and support to transition tools from idea or minimum viable product into properly documented, quality-assured, maintained, and owned products. When a project ends, developers have no time, mandate, or pathway to hand over tools, resulting in valuable tools being abandoned, stuck with reluctant owners, or never scaled beyond the original project.</t>
  </si>
  <si>
    <t>FW: Tech task force: update for Tech LT — Outlook item AAMkADFkNTVkNTdkLTQ2NzktNGUwMy04ZjUwLWJjOGU5NWVmZmVlOABGAAAAAAAwqbqR6chTRqrGrbICvYZiBwAmAYPWE1oSQJIchgDHMYYlAAAFjIT6AAAGgHAtU47mQbWmGDo%2bojP%2bAAUPEC%2bEAAA%3d; Software Management Processes and Portal Overview.pptx — https://ramboll.sharepoint.com/sites/BoostingTechProfitability/_layouts/15/Doc.aspx?sourcedoc=%7B7684EA9F-9243-4274-BB43-0AF9E0008607%7D&amp;file=Software%20Management%20Processes%20and%20Portal%20Overview.pptx&amp;action=edit&amp;mobileredirect=true&amp;DefaultItemOpen=1; Problems sheet (WS1-P021)</t>
  </si>
  <si>
    <t>IM-047</t>
  </si>
  <si>
    <t>Production-software support flows can help users access existing capabilities, but the initiative does not explicitly evidence modelling-feature training or adoption.</t>
  </si>
  <si>
    <t>Initiative evidence: The Tech Task Force update explicitly identifies the workstream, states that execution had started and enumerates the four improvement areas underway. Problem evidence (WS1-P023 — Underuse of modern modelling features): Transport designers underuse new modelling and drawing features and develop workarounds for problems already solved by vendors, or need entirely new approaches. CAD and Novapoint are used as they were in 2015. Designers manually perform tasks already automated and create models in a hard way, causing quality issues and time concerns.</t>
  </si>
  <si>
    <t>FW: Tech task force: update for Tech LT — Outlook item AAMkADFkNTVkNTdkLTQ2NzktNGUwMy04ZjUwLWJjOGU5NWVmZmVlOABGAAAAAAAwqbqR6chTRqrGrbICvYZiBwAmAYPWE1oSQJIchgDHMYYlAAAFjIT6AAAGgHAtU47mQbWmGDo%2bojP%2bAAUPEC%2bEAAA%3d; Software Management Processes and Portal Overview.pptx — https://ramboll.sharepoint.com/sites/BoostingTechProfitability/_layouts/15/Doc.aspx?sourcedoc=%7B7684EA9F-9243-4274-BB43-0AF9E0008607%7D&amp;file=Software%20Management%20Processes%20and%20Portal%20Overview.pptx&amp;action=edit&amp;mobileredirect=true&amp;DefaultItemOpen=1; Problems sheet (WS1-P023)</t>
  </si>
  <si>
    <t>IM-048</t>
  </si>
  <si>
    <t>Consolidating applications into central platforms can reduce tool fragmentation, but does not directly establish consistent data setups across remaining tools.</t>
  </si>
  <si>
    <t>Initiative evidence: The Tech Portfolio explicitly records application consolidation/decommissioning and continuing rationalisation work. Problem evidence (WS1-P006 — Inconsistent data setup across tools): Working with project data across multiple software vendors and standards is difficult because data setups differ across software. Coding must be dynamically updated and shared live between teams and software to ensure consistent and correct implementation. The issue is increasingly important as clients request more information.</t>
  </si>
  <si>
    <t>Tech Portfolio Status.pptx — https://ramboll.sharepoint.com/sites/TechPortfolio/_layouts/15/Doc.aspx?sourcedoc=%7BA587687F-D2E0-4466-9B04-B751AE8E49F1%7D&amp;file=Tech%20Portfolio%20Status.pptx&amp;action=edit&amp;mobileredirect=true&amp;DefaultItemOpen=1; Problems sheet (WS1-P006)</t>
  </si>
  <si>
    <t>IM-049</t>
  </si>
  <si>
    <t>Application consolidation and decommissioning directly address confusion and complexity created by multiple overlapping platforms.</t>
  </si>
  <si>
    <t>Initiative evidence: The Tech Portfolio explicitly records application consolidation/decommissioning and continuing rationalisation work. Problem evidence (WS1-P014 — Confusion from multiple project platforms): Multiple platforms create confusion in projects. All team members are affected, and project managers struggle to give clear and consistent instructions.</t>
  </si>
  <si>
    <t>Tech Portfolio Status.pptx — https://ramboll.sharepoint.com/sites/TechPortfolio/_layouts/15/Doc.aspx?sourcedoc=%7BA587687F-D2E0-4466-9B04-B751AE8E49F1%7D&amp;file=Tech%20Portfolio%20Status.pptx&amp;action=edit&amp;mobileredirect=true&amp;DefaultItemOpen=1; Problems sheet (WS1-P014)</t>
  </si>
  <si>
    <t>IM-050</t>
  </si>
  <si>
    <t>Reducing redundant applications can simplify the vendor landscape, but setup alignment and client-output coherence are not explicitly evidenced.</t>
  </si>
  <si>
    <t>Initiative evidence: The Tech Portfolio explicitly records application consolidation/decommissioning and continuing rationalisation work. Problem evidence (WS1-P016 — Misaligned setups across software vendors): Projects using multiple software vendors often lack standard setups, and setups are not aligned between software. Significant project time is spent trying to ensure alignment, and delivered material may not be coherent across disciplines or meet client requirements.</t>
  </si>
  <si>
    <t>Tech Portfolio Status.pptx — https://ramboll.sharepoint.com/sites/TechPortfolio/_layouts/15/Doc.aspx?sourcedoc=%7BA587687F-D2E0-4466-9B04-B751AE8E49F1%7D&amp;file=Tech%20Portfolio%20Status.pptx&amp;action=edit&amp;mobileredirect=true&amp;DefaultItemOpen=1; Problems sheet (WS1-P016)</t>
  </si>
  <si>
    <t>IM-051</t>
  </si>
  <si>
    <t>Reusable central platforms can support more consistent infrastructure, but project setup, standards, and ways of working are broader than application rationalisation.</t>
  </si>
  <si>
    <t>Initiative evidence: The Tech Portfolio explicitly records application consolidation/decommissioning and continuing rationalisation work. Problem evidence (WS1-P017 — Fragmented project setup and infrastructure): Project teams and disciplines lack harmonised project setup and digital infrastructure when starting projects. Individuals push for different tools, standards, and ways of working, resulting in fragmented setups across projects, reduced work sharing, and an inability to harvest and reuse data from project to project.</t>
  </si>
  <si>
    <t>Tech Portfolio Status.pptx — https://ramboll.sharepoint.com/sites/TechPortfolio/_layouts/15/Doc.aspx?sourcedoc=%7BA587687F-D2E0-4466-9B04-B751AE8E49F1%7D&amp;file=Tech%20Portfolio%20Status.pptx&amp;action=edit&amp;mobileredirect=true&amp;DefaultItemOpen=1; Problems sheet (WS1-P017)</t>
  </si>
  <si>
    <t>IM-052</t>
  </si>
  <si>
    <t>PI-RTR-008</t>
  </si>
  <si>
    <t>Adjacent initiative</t>
  </si>
  <si>
    <t>Stronger PMD capability is relevant to early delivery-risk management, but the source does not specifically evidence tender-phase identification of digital requirements and risks.</t>
  </si>
  <si>
    <t>Initiative evidence: Major Projects explicitly records its decision to build the PMD department, current geographic expansion and continuing delivery/handbook work. Problem evidence (WS1-P008 — Digital risks identified too late): Digital requirements and risks are not sufficiently identified in the tender phase. There is often insufficient time to identify all risks related to digital requirements, and this is moved to the post-contract phase, resulting in underestimated work or competence needed to fulfil client requirements. This often affects project performance.</t>
  </si>
  <si>
    <t>Viva Engage: Building our Project Management and Delivery department within Major Projects — https://engage.cloud.microsoft/main/threads/eyJfdHlwZSI6IlRocmVhZCIsImlkIjoiMzk4MjQ1MjcxMjA1NDc4NCJ9; Problems sheet (WS1-P008)</t>
  </si>
  <si>
    <t>The initiative is relevant to the broader delivery context, but the evidence does not establish a direct response to this specific problem.</t>
  </si>
  <si>
    <t>IM-053</t>
  </si>
  <si>
    <t>PMD capability is relevant to project-performance management, but the source does not evidence live KPI integration with project data.</t>
  </si>
  <si>
    <t>Initiative evidence: Major Projects explicitly records its decision to build the PMD department, current geographic expansion and continuing delivery/handbook work. Problem evidence (WS1-P009 — Insufficient live project performance data): Project managers, delivery teams, and tender teams lack structured key performance indicators directly connected to real project data generated during execution. This limits their ability to monitor efficiency, budget consumption, completeness, and performance in a live, data-driven way, resulting in limited visibility into project health and insufficient actionable evidence for decision-making and future tenders.</t>
  </si>
  <si>
    <t>Viva Engage: Building our Project Management and Delivery department within Major Projects — https://engage.cloud.microsoft/main/threads/eyJfdHlwZSI6IlRocmVhZCIsImlkIjoiMzk4MjQ1MjcxMjA1NDc4NCJ9; Problems sheet (WS1-P009)</t>
  </si>
  <si>
    <t>IM-054</t>
  </si>
  <si>
    <t>Geographically distributed PMD capability and a harmonised delivery focus can reduce cross-country handover friction, but software and local-practice alignment are not explicitly evidenced.</t>
  </si>
  <si>
    <t>Initiative evidence: Major Projects explicitly records its decision to build the PMD department, current geographic expansion and continuing delivery/handbook work. Problem evidence (WS1-P011 — Difficult cross-country project handover): Sharing projects across teams, such as RFI to RNO or RNO to RDK, requires time to understand different processes, standards, software, and local practices. This can lead to rework or quality issues.</t>
  </si>
  <si>
    <t>Viva Engage: Building our Project Management and Delivery department within Major Projects — https://engage.cloud.microsoft/main/threads/eyJfdHlwZSI6IlRocmVhZCIsImlkIjoiMzk4MjQ1MjcxMjA1NDc4NCJ9; Problems sheet (WS1-P011)</t>
  </si>
  <si>
    <t>IM-055</t>
  </si>
  <si>
    <t>The department and handbook work can support harmonised delivery across geographies, but the source does not evidence resolution of local standards or resistance.</t>
  </si>
  <si>
    <t>Initiative evidence: Major Projects explicitly records its decision to build the PMD department, current geographic expansion and continuing delivery/handbook work. Problem evidence (WS1-P012 — Local standards hinder work sharing): Work sharing between business units is difficult because units have their own poorly documented project standards. There is resistance to moving even a service line-coordinated project standard forward.</t>
  </si>
  <si>
    <t>Viva Engage: Building our Project Management and Delivery department within Major Projects — https://engage.cloud.microsoft/main/threads/eyJfdHlwZSI6IlRocmVhZCIsImlkIjoiMzk4MjQ1MjcxMjA1NDc4NCJ9; Problems sheet (WS1-P012)</t>
  </si>
  <si>
    <t>IM-056</t>
  </si>
  <si>
    <t>Harmonised major-project delivery capability can support more consistent setup, but the source is not specific about digital infrastructure or tool configurations.</t>
  </si>
  <si>
    <t>Initiative evidence: Major Projects explicitly records its decision to build the PMD department, current geographic expansion and continuing delivery/handbook work. Problem evidence (WS1-P017 — Fragmented project setup and infrastructure): Project teams and disciplines lack harmonised project setup and digital infrastructure when starting projects. Individuals push for different tools, standards, and ways of working, resulting in fragmented setups across projects, reduced work sharing, and an inability to harvest and reuse data from project to project.</t>
  </si>
  <si>
    <t>Viva Engage: Building our Project Management and Delivery department within Major Projects — https://engage.cloud.microsoft/main/threads/eyJfdHlwZSI6IlRocmVhZCIsImlkIjoiMzk4MjQ1MjcxMjA1NDc4NCJ9; Problems sheet (WS1-P017)</t>
  </si>
  <si>
    <t>IM-057</t>
  </si>
  <si>
    <t>Handbook and delivery work can support standard implementation, but the source does not specify project models, folder structures, or digital standards.</t>
  </si>
  <si>
    <t>Initiative evidence: Major Projects explicitly records its decision to build the PMD department, current geographic expansion and continuing delivery/handbook work. Problem evidence (WS1-P018 — Project standards not fully implemented): The project model, folder structure, and other standards are not fully implemented, resulting in diverse ways of working.</t>
  </si>
  <si>
    <t>Viva Engage: Building our Project Management and Delivery department within Major Projects — https://engage.cloud.microsoft/main/threads/eyJfdHlwZSI6IlRocmVhZCIsImlkIjoiMzk4MjQ1MjcxMjA1NDc4NCJ9; Problems sheet (WS1-P018)</t>
  </si>
  <si>
    <t>IM-058</t>
  </si>
  <si>
    <t>Building distributed PMD capability for reliable and harmonised major-project delivery directly responds to coordination challenges in multidisciplinary, cross-unit projects.</t>
  </si>
  <si>
    <t>Initiative evidence: Major Projects explicitly records its decision to build the PMD department, current geographic expansion and continuing delivery/handbook work. Problem evidence (WS1-P019 — Coordination challenges in multidisciplinary projects): Multidisciplinary projects are difficult to manage. Coordination becomes challenging when work is shared between different business units.</t>
  </si>
  <si>
    <t>Viva Engage: Building our Project Management and Delivery department within Major Projects — https://engage.cloud.microsoft/main/threads/eyJfdHlwZSI6IlRocmVhZCIsImlkIjoiMzk4MjQ1MjcxMjA1NDc4NCJ9; Problems sheet (WS1-P019)</t>
  </si>
  <si>
    <t>IM-059</t>
  </si>
  <si>
    <t>Building PMD capability across geographies can reduce competence variation in delivery management, but digital-requirement formats and tools are not explicitly evidenced.</t>
  </si>
  <si>
    <t>Initiative evidence: Major Projects explicitly records its decision to build the PMD department, current geographic expansion and continuing delivery/handbook work. Problem evidence (WS1-P024 — Uneven digital-requirements competence): Knowledge and competence related to digital requirements vary across disciplines and countries in Norwegian projects. Some disciplines are not always familiar with required formats, information content, or tools used for collaboration.</t>
  </si>
  <si>
    <t>Viva Engage: Building our Project Management and Delivery department within Major Projects — https://engage.cloud.microsoft/main/threads/eyJfdHlwZSI6IlRocmVhZCIsImlkIjoiMzk4MjQ1MjcxMjA1NDc4NCJ9; Problems sheet (WS1-P024)</t>
  </si>
  <si>
    <t>IM-060</t>
  </si>
  <si>
    <t>PMD capability is relevant to resourcing and role recognition, but the source does not evidence changes to the commercial or pricing model for digital roles and innovation.</t>
  </si>
  <si>
    <t>Initiative evidence: Major Projects explicitly records its decision to build the PMD department, current geographic expansion and continuing delivery/handbook work. Problem evidence (WS1-P025 — Current commercial model acts as blocker to digital resources and innovation): Due to lack of understanding clients often challenge hours required to discharge Digital Delivery Management or Digital Coordinator roles leaving insufficient budget. Additionally AI/automation solutions are often an investment of Ramboll without a mechanism (such as value-based pricing) to get this investment back meaning impact of business performance is large and will grow as AI/automation become more and more the norm.</t>
  </si>
  <si>
    <t>Viva Engage: Building our Project Management and Delivery department within Major Projects — https://engage.cloud.microsoft/main/threads/eyJfdHlwZSI6IlRocmVhZCIsImlkIjoiMzk4MjQ1MjcxMjA1NDc4NCJ9; Problems sheet (WS1-P025)</t>
  </si>
  <si>
    <t>IM-061</t>
  </si>
  <si>
    <t>The initiative explicitly builds geographically distributed PMD capability to support reliable delivery, directly addressing a delivery-capability gap, while its evidence is less specific to production tools.</t>
  </si>
  <si>
    <t>Initiative evidence: Major Projects explicitly records its decision to build the PMD department, current geographic expansion and continuing delivery/handbook work. Problem evidence (WS1-P026 — Delivery teams including REC lack correct skills to deliver digital outputs (models, drawings and data principally) right first time): Currently project performance is impacted by the lack of skills within the business in the digital production space. This is causing a "silent drain" on projects as we're consistently spending more time and money on outputs than planned during tender without the ability to go back to clients to request additional fee due to being Ramboll error. This is impacting project performance on a large percentage of projects.</t>
  </si>
  <si>
    <t>Viva Engage: Building our Project Management and Delivery department within Major Projects — https://engage.cloud.microsoft/main/threads/eyJfdHlwZSI6IlRocmVhZCIsImlkIjoiMzk4MjQ1MjcxMjA1NDc4NCJ9; Problems sheet (WS1-P026)</t>
  </si>
  <si>
    <t>IM-062</t>
  </si>
  <si>
    <t>A department and handbook can create a common direction within Major Projects, but the problem concerns all departments and HoD KPIs, which are not evidenced in the source.</t>
  </si>
  <si>
    <t>Initiative evidence: Major Projects explicitly records its decision to build the PMD department, current geographic expansion and continuing delivery/handbook work. Problem evidence (WS1-P027 — Consistency accross departments in terms of digital plan and focus, lack of HoD KPI's supporting improvements in the digital space): Improving the situation in the digital management and delivery space requires all departments to push in the same direction. Historically there has been a disconnect between departments which has impacted ability to improve the situation. Moving forward there is a need for all HoD's to be involved in and understand digital needs of the business and have clear goals/KPI's associated with this.</t>
  </si>
  <si>
    <t>Viva Engage: Building our Project Management and Delivery department within Major Projects — https://engage.cloud.microsoft/main/threads/eyJfdHlwZSI6IlRocmVhZCIsImlkIjoiMzk4MjQ1MjcxMjA1NDc4NCJ9; Problems sheet (WS1-P027)</t>
  </si>
  <si>
    <t>ClusterID</t>
  </si>
  <si>
    <t>ClusterName</t>
  </si>
  <si>
    <t>ClusterDescription</t>
  </si>
  <si>
    <t>InclusionRule</t>
  </si>
  <si>
    <t>BoundaryRule</t>
  </si>
  <si>
    <t>ClusterModel</t>
  </si>
  <si>
    <t>Supports overlapping, many-to-many assignments between evidenced problem records and analytical clusters; no assignments have been created.</t>
  </si>
  <si>
    <t>ClusterAssignmentID</t>
  </si>
  <si>
    <t>EvidenceRecordType</t>
  </si>
  <si>
    <t>EvidenceRecordID</t>
  </si>
  <si>
    <t>AssignmentType</t>
  </si>
  <si>
    <t>AssignmentRationale</t>
  </si>
  <si>
    <t>ExceptionID</t>
  </si>
  <si>
    <t>EntityType</t>
  </si>
  <si>
    <t>EntityID</t>
  </si>
  <si>
    <t>ExceptionType</t>
  </si>
  <si>
    <t>Description</t>
  </si>
  <si>
    <t>Severity</t>
  </si>
  <si>
    <t>ProposedResolution</t>
  </si>
  <si>
    <t>ResolutionStatus</t>
  </si>
  <si>
    <t>Owner</t>
  </si>
  <si>
    <t>Decision</t>
  </si>
  <si>
    <t>DecisionDate</t>
  </si>
  <si>
    <t>DecisionRationale</t>
  </si>
  <si>
    <t>FollowUpAction</t>
  </si>
  <si>
    <t>Initiative</t>
  </si>
  <si>
    <t>The workbook owner explicitly confirmed that PI-RTR-001 was reviewed and can be retained. This decision approves retention of the initiative entity only.</t>
  </si>
  <si>
    <t>Review the AI-generated short title and initiative-to-problem mapping proposals separately.</t>
  </si>
  <si>
    <t>The workbook owner explicitly confirmed that PI-RTR-002 was reviewed and can be retained. This decision approves retention of the initiative entity only.</t>
  </si>
  <si>
    <t>RD-003</t>
  </si>
  <si>
    <t>The workbook owner explicitly confirmed that PI-RTR-003 was reviewed and can be retained. This decision approves retention of the initiative entity only.</t>
  </si>
  <si>
    <t>The workbook owner explicitly confirmed that PI-RTR-004 was reviewed and can be retained. This decision approves retention of the initiative entity only.</t>
  </si>
  <si>
    <t>The workbook owner explicitly confirmed that PI-RTR-005 was reviewed and can be retained. This decision approves retention of the initiative entity only.</t>
  </si>
  <si>
    <t>The workbook owner explicitly confirmed that PI-RTR-006 was reviewed and can be retained. This decision approves retention of the initiative entity only.</t>
  </si>
  <si>
    <t>RD-007</t>
  </si>
  <si>
    <t>The workbook owner explicitly confirmed that PI-RTR-007 was reviewed and can be retained. This decision approves retention of the initiative entity only.</t>
  </si>
  <si>
    <t>The workbook owner explicitly confirmed that PI-RTR-008 was reviewed and can be retained. This decision approves retention of the initiative entity only.</t>
  </si>
  <si>
    <t>Lists used for data validation. Blank values remain permitted where evidence or review has not established a value.</t>
  </si>
  <si>
    <t>ProblemMappingRelationship</t>
  </si>
  <si>
    <t>PracticeMappingRelationship</t>
  </si>
  <si>
    <t>InitiativeMappingRelationship</t>
  </si>
  <si>
    <t>YesNo</t>
  </si>
  <si>
    <t>InitiativeStatus</t>
  </si>
  <si>
    <t>ExceptionSeverity</t>
  </si>
  <si>
    <t>RecordOrigin</t>
  </si>
  <si>
    <t>ReviewDecision</t>
  </si>
  <si>
    <t>ClusterAssignmentType</t>
  </si>
  <si>
    <t>Same underlying problem</t>
  </si>
  <si>
    <t>Proposed</t>
  </si>
  <si>
    <t>Draft</t>
  </si>
  <si>
    <t>Open</t>
  </si>
  <si>
    <t>Problem</t>
  </si>
  <si>
    <t>Workshop problem</t>
  </si>
  <si>
    <t>Primary</t>
  </si>
  <si>
    <t>In review</t>
  </si>
  <si>
    <t>More specific instance</t>
  </si>
  <si>
    <t>No</t>
  </si>
  <si>
    <t>In progress</t>
  </si>
  <si>
    <t>Approved new</t>
  </si>
  <si>
    <t>Practice</t>
  </si>
  <si>
    <t>Rejected</t>
  </si>
  <si>
    <t>ESP-derived problem</t>
  </si>
  <si>
    <t>Secondary</t>
  </si>
  <si>
    <t>Needs clarification</t>
  </si>
  <si>
    <t>Related but materially distinct</t>
  </si>
  <si>
    <t>Dependency</t>
  </si>
  <si>
    <t>Insufficient evidence</t>
  </si>
  <si>
    <t>Retired</t>
  </si>
  <si>
    <t>Resolved</t>
  </si>
  <si>
    <t>Candidate problem</t>
  </si>
  <si>
    <t>Boundary</t>
  </si>
  <si>
    <t>New problem</t>
  </si>
  <si>
    <t>Related evidence</t>
  </si>
  <si>
    <t>Paused</t>
  </si>
  <si>
    <t>Critical</t>
  </si>
  <si>
    <t>Accepted</t>
  </si>
  <si>
    <t>Problem mapping</t>
  </si>
  <si>
    <t>Superseded</t>
  </si>
  <si>
    <t>Cross-cutting</t>
  </si>
  <si>
    <t>Possible overlap</t>
  </si>
  <si>
    <t>Completed</t>
  </si>
  <si>
    <t>Practice mapping</t>
  </si>
  <si>
    <t>Rejected as unsupported</t>
  </si>
  <si>
    <t>Cancelled</t>
  </si>
  <si>
    <t>Initiative mapping</t>
  </si>
  <si>
    <t>Cluster</t>
  </si>
  <si>
    <t>Cluster assignment</t>
  </si>
  <si>
    <t>Exception</t>
  </si>
  <si>
    <t>TEMPORARY AI PROPOSAL AREA — Practice Problem Proposals</t>
  </si>
  <si>
    <t>AI proposals derived only from Practices ESP-S001–ESP-S029 and Controlled Values. Each row requires human review; no Workshop 1 comparison, clustering, prioritisation, ownership, status, or transfer decision has been made.</t>
  </si>
  <si>
    <t>AI-GENERATED PROPOSALS — HUMAN REVIEW REQUIRED BEFORE TRANSFER</t>
  </si>
  <si>
    <t>ProposalRowID</t>
  </si>
  <si>
    <t>RelationshipToPractice</t>
  </si>
  <si>
    <t>HumanReviewDecision</t>
  </si>
  <si>
    <t>HumanReviewerComments</t>
  </si>
  <si>
    <t>TransferStatus</t>
  </si>
  <si>
    <t>TransferredCandidateProblemID</t>
  </si>
  <si>
    <t>ExceptionNeeded</t>
  </si>
  <si>
    <t>TMP-PPP-001</t>
  </si>
  <si>
    <t>Retain</t>
  </si>
  <si>
    <t>Transferred</t>
  </si>
  <si>
    <t>TMP-PPP-002</t>
  </si>
  <si>
    <t>TMP-PPP-003</t>
  </si>
  <si>
    <t>TMP-PPP-004</t>
  </si>
  <si>
    <t>TMP-PPP-005</t>
  </si>
  <si>
    <t>TMP-PPP-006</t>
  </si>
  <si>
    <t>TMP-PPP-007</t>
  </si>
  <si>
    <t>TMP-PPP-008</t>
  </si>
  <si>
    <t>TMP-PPP-009</t>
  </si>
  <si>
    <t>TMP-PPP-010</t>
  </si>
  <si>
    <t>TMP-PPP-011</t>
  </si>
  <si>
    <t>TMP-PPP-012</t>
  </si>
  <si>
    <t>TMP-PPP-013</t>
  </si>
  <si>
    <t>TMP-PPP-014</t>
  </si>
  <si>
    <t>TMP-PPP-015</t>
  </si>
  <si>
    <t>TMP-PPP-016</t>
  </si>
  <si>
    <t>TMP-PPP-017</t>
  </si>
  <si>
    <t>TMP-PPP-018</t>
  </si>
  <si>
    <t>TMP-PPP-019</t>
  </si>
  <si>
    <t>TMP-PPP-020</t>
  </si>
  <si>
    <t>TMP-PPP-021</t>
  </si>
  <si>
    <t>TMP-PPP-022</t>
  </si>
  <si>
    <t>TMP-PPP-023</t>
  </si>
  <si>
    <t>TMP-PPP-024</t>
  </si>
  <si>
    <t>TMP-PPP-025</t>
  </si>
  <si>
    <t>TMP-PPP-026</t>
  </si>
  <si>
    <t>TMP-PPP-027</t>
  </si>
  <si>
    <t>TMP-PPP-028</t>
  </si>
  <si>
    <t>TMP-PPP-029</t>
  </si>
  <si>
    <t>TMP-PPP-030</t>
  </si>
  <si>
    <t>TMP-PPP-031</t>
  </si>
  <si>
    <t>TMP-PPP-032</t>
  </si>
  <si>
    <t>TMP-PPP-033</t>
  </si>
  <si>
    <t>TMP-PPP-034</t>
  </si>
  <si>
    <t>TMP-PPP-035</t>
  </si>
  <si>
    <t>TMP-PPP-036</t>
  </si>
  <si>
    <t>TMP-PPP-037</t>
  </si>
  <si>
    <t>TMP-PPP-038</t>
  </si>
  <si>
    <t>TMP-PPP-039</t>
  </si>
  <si>
    <t>TMP-PPP-040</t>
  </si>
  <si>
    <t>TMP-PPP-041</t>
  </si>
  <si>
    <t>TMP-PPP-042</t>
  </si>
  <si>
    <t>TMP-PPP-043</t>
  </si>
  <si>
    <t>TMP-PPP-044</t>
  </si>
  <si>
    <t>TMP-PPP-045</t>
  </si>
  <si>
    <t>TMP-PPP-046</t>
  </si>
  <si>
    <t>TMP-PPP-047</t>
  </si>
  <si>
    <t>TMP-PPP-048</t>
  </si>
  <si>
    <t>TMP-PPP-049</t>
  </si>
  <si>
    <t>TMP-PPP-050</t>
  </si>
  <si>
    <t>TMP-PPP-051</t>
  </si>
  <si>
    <t>TMP-PPP-052</t>
  </si>
  <si>
    <t>TMP-PPP-053</t>
  </si>
  <si>
    <t>TMP-PPP-054</t>
  </si>
  <si>
    <t>TMP-PPP-055</t>
  </si>
  <si>
    <t>TMP-PPP-056</t>
  </si>
  <si>
    <t>TMP-PPP-057</t>
  </si>
  <si>
    <t>TMP-PPP-058</t>
  </si>
  <si>
    <t>TMP-PPP-059</t>
  </si>
  <si>
    <t>TMP-PPP-060</t>
  </si>
  <si>
    <t>TMP-PPP-061</t>
  </si>
  <si>
    <t>TEMPORARY AI PROPOSAL AREA — Problem Space Analysis</t>
  </si>
  <si>
    <t>Temporary staging only. Data rows intentionally empty; no source records have been copied, transformed, consolidated, or transferred.</t>
  </si>
  <si>
    <t>TEMPORARY — AI-GENERATED PROPOSALS REQUIRE HUMAN REVIEW BEFORE ANY TRANSFER</t>
  </si>
  <si>
    <t>AnalysisRowID</t>
  </si>
  <si>
    <t>ShortTitle</t>
  </si>
  <si>
    <t>ProblemStatement</t>
  </si>
  <si>
    <t>SupportingEvidenceIDs</t>
  </si>
  <si>
    <t>AnalysisSignal</t>
  </si>
  <si>
    <t>RelatedEvidenceRecordIDs</t>
  </si>
  <si>
    <t>ProposedCandidateShortTitle</t>
  </si>
  <si>
    <t>ProposedCandidateProblemStatement</t>
  </si>
  <si>
    <t>ConsolidationRationale</t>
  </si>
  <si>
    <t>ESP-S001 ProjectWise manager governance model (Denmark);
ESP-S002 ProjectWise manager guide and standards portal (Denmark);
ESP-S003 ProjectWise for production - RAMDK (Denmark);
ESP-S004 Managed workspace in ProjectWise (Denmark);
ESP-S005 CAD project manual and transport standards portal (Denmark);
ESP-S007 Client-led data management and modelling instruction model (Finland);
ESP-S008 Quadri / Trimble Connect project environment (Finland);
ESP-S009 Finnish configuration packages for design tools (Finland);
ESP-S010 Forma pilot with discipline templates (Finland);
ESP-S011 Transport software standards portal and Teams communication channels (Finland);
ESP-S012 Super-user network and office roadshow support model (Finland);
ESP-S013 Integrated multi-platform project environment (Norway);
ESP-S017 Project SharePoint/Teams information hub (Norway);
ESP-S019 CAD Configuration / Configuration Switch (Sweden);
ESP-S020 Metadata and Naming + Managed Workspaces (Sweden);
ESP-S022 Opt-in model via project support SharePoint page (Sweden);
ESP-S023 Project Hub (SharePoint coordination layer) (Sweden);
ESP-S024 Early-phase digital delivery manager involvement (UK&amp;I);
ESP-S025 Digital fit assessment (UK&amp;I);
ESP-S026 ISO 19650-aligned ProjectWise deployment model (UK&amp;I);
ESP-S027 ProjectWise build sheet and staged mobilisation checks (UK&amp;I)</t>
  </si>
  <si>
    <t>ESP-S002 ProjectWise manager guide and standards portal (Denmark);
ESP-S005 CAD project manual and transport standards portal (Denmark);
ESP-S006 Teams-based product information and support channel (Denmark);
ESP-S007 Client-led data management and modelling instruction model (Finland);
ESP-S011 Transport software standards portal and Teams communication channels (Finland);
ESP-S012 Super-user network and office roadshow support model (Finland);
ESP-S017 Project SharePoint/Teams information hub (Norway);
ESP-S023 Project Hub (SharePoint coordination layer) (Sweden);
ESP-S024 Early-phase digital delivery manager involvement (UK&amp;I);
ESP-S025 Digital fit assessment (UK&amp;I)</t>
  </si>
  <si>
    <t>ESP-S005 CAD project manual and transport standards portal (Denmark);
ESP-S013 Integrated multi-platform project environment (Norway);
ESP-S014 BIMbot model exchange and automation layer (Norway);
ESP-S017 Project SharePoint/Teams information hub (Norway);
ESP-S023 Project Hub (SharePoint coordination layer) (Sweden);
ESP-S024 Early-phase digital delivery manager involvement (UK&amp;I);
ESP-S025 Digital fit assessment (UK&amp;I);
ESP-S026 ISO 19650-aligned ProjectWise deployment model (UK&amp;I)</t>
  </si>
  <si>
    <t>ESP-S013 Integrated multi-platform project environment (Norway);
ESP-S014 BIMbot model exchange and automation layer (Norway)</t>
  </si>
  <si>
    <r>
      <t>PI-RTR-004 Enabling Citizen Development:</t>
    </r>
    <r>
      <rPr>
        <sz val="10"/>
        <color theme="1"/>
        <rFont val="Calibri"/>
        <scheme val="minor"/>
      </rPr>
      <t xml:space="preserve"> Ramboll Tech DD&amp;P discovery and pilot initiative to determine business needs, tooling, enablement, governance and safe ways for colleagues to create lightweight automation and solutions.</t>
    </r>
    <r>
      <rPr>
        <b/>
        <sz val="10"/>
        <color theme="1"/>
        <rFont val="Calibri"/>
        <scheme val="minor"/>
      </rPr>
      <t xml:space="preserve">
PI-RTR-005 Script Sharing Platform rollout and scaling:</t>
    </r>
    <r>
      <rPr>
        <sz val="10"/>
        <color theme="1"/>
        <rFont val="Calibri"/>
        <scheme val="minor"/>
      </rPr>
      <t xml:space="preserve"> Scale a live, governed environment for sharing and reusing engineering automation assets including scripts, plugins and visual-programming solutions.</t>
    </r>
    <r>
      <rPr>
        <b/>
        <sz val="10"/>
        <color theme="1"/>
        <rFont val="Calibri"/>
        <scheme val="minor"/>
      </rPr>
      <t xml:space="preserve">
PI-RTR-006 Software processes &amp; portal:</t>
    </r>
    <r>
      <rPr>
        <sz val="10"/>
        <color theme="1"/>
        <rFont val="Calibri"/>
        <scheme val="minor"/>
      </rPr>
      <t xml:space="preserve"> Ramboll Tech workstream improving software-portfolio governance, employee software journeys, request workflows and production-software support flows.</t>
    </r>
  </si>
  <si>
    <t>ESP-S030 SPOT Workflow (Major Projects);
ESP-S031 CODA Data Dictionary (CDD) (Major Projects)</t>
  </si>
  <si>
    <t>ESP-S007 Client-led data management and modelling instruction model (Finland);
ESP-S024 Early-phase digital delivery manager involvement (UK&amp;I);
ESP-S025 Digital fit assessment (UK&amp;I);
ESP-S026 ISO 19650-aligned ProjectWise deployment model (UK&amp;I)</t>
  </si>
  <si>
    <t>ESP-S005 CAD project manual and transport standards portal (Denmark);
ESP-S007 Client-led data management and modelling instruction model (Finland);
ESP-S014 BIMbot model exchange and automation layer (Norway);
ESP-S015 Model Maturity Index (MMI) and property set standard (Norway);
ESP-S018 Asset coding and IFC 4x3 delivery pattern (Norway);
ESP-S020 Metadata and Naming + Managed Workspaces (Sweden);
ESP-S026 ISO 19650-aligned ProjectWise deployment model (UK&amp;I);
ESP-S028 ProjectWise dashboards and Teams reporting (UK&amp;I);
ESP-S030 SPOT Workflow (Major Projects);
ESP-S031 CODA Data Dictionary (CDD) (Major Projects);
ESP-S032 BSDD testing / mapping (Major Projects)</t>
  </si>
  <si>
    <t>Transport Requirement ID</t>
  </si>
  <si>
    <t>Transport Cluster</t>
  </si>
  <si>
    <t>Transport Requirement / Pain Point</t>
  </si>
  <si>
    <t>Source Reference</t>
  </si>
  <si>
    <t>UPE Coverage</t>
  </si>
  <si>
    <t>UPE Module / Section</t>
  </si>
  <si>
    <t>How UPE Covers It</t>
  </si>
  <si>
    <t>Not Covered Out-of-the-Box / Customisation Needed</t>
  </si>
  <si>
    <t>RTR production improvement opportunity space.xlsx | Q3_Top problems | WS1-P017 | row 6</t>
  </si>
  <si>
    <t>Production Environment / Supported Platforms</t>
  </si>
  <si>
    <t>UPE targets streamlined project environments and aligned supported production platforms, reducing project-by-project reinvention of digital setup.</t>
  </si>
  <si>
    <t>Project/client-specific deployment, local standards, access model, infrastructure constraints and exception handling still require tailoring.</t>
  </si>
  <si>
    <t>Delivery teams including REC lack correct skills to deliver digital outputs</t>
  </si>
  <si>
    <t>RTR production improvement opportunity space.xlsx | Q3_Top problems | WS1-P026 | row 7</t>
  </si>
  <si>
    <t>Production Process &amp; Knowledge / Supported Platforms</t>
  </si>
  <si>
    <t>UPE can provide governed production knowledge, approved ways of working and supported platform guidance to improve delivery capability.</t>
  </si>
  <si>
    <t>Training, competence development, staffing, coaching and role/accountability management are outside UPE out of the box.</t>
  </si>
  <si>
    <t>RTR production improvement opportunity space.xlsx | Q3_Top problems | WS1-P011 | row 8</t>
  </si>
  <si>
    <t>Production Environment + Production Process &amp; Knowledge</t>
  </si>
  <si>
    <t>Aligned production environments, reusable setup patterns and shared knowledge can reduce onboarding and handover friction between countries/teams.</t>
  </si>
  <si>
    <t>Local process differences, contractual/client requirements, language and team-specific onboarding still require adaptation.</t>
  </si>
  <si>
    <t>RTR production improvement opportunity space.xlsx | Q3_Top problems | WS1-P012 | row 9</t>
  </si>
  <si>
    <t>Production Process &amp; Knowledge + Environment Standards</t>
  </si>
  <si>
    <t>UPE can establish common production standards, reusable project configurations and shared guidance across geographies.</t>
  </si>
  <si>
    <t>Local statutory/client requirements and approved deviations must remain configurable and governed.</t>
  </si>
  <si>
    <t>RTR production improvement opportunity space.xlsx | Q3_Top problems | WS1-P001 | row 10</t>
  </si>
  <si>
    <t>Not directly mapped</t>
  </si>
  <si>
    <t>AI / Automation Enablement (adjacent)</t>
  </si>
  <si>
    <t>UPE can provide common production data, platform context and integration points that make AI/automation easier to apply consistently.</t>
  </si>
  <si>
    <t>AI governance, citizen-development standards, tooling lifecycle and adoption are primarily separate capabilities/initiatives.</t>
  </si>
  <si>
    <t>RTR production improvement opportunity space.xlsx | Q3_Top problems | WS1-P013 | row 11</t>
  </si>
  <si>
    <t>UPE Production Process &amp; Knowledge</t>
  </si>
  <si>
    <t>A governed UPE knowledge foundation can provide a common entry point for production processes, standards, platform guidance and reusable knowledge.</t>
  </si>
  <si>
    <t>Organisation-wide support ownership, training portals, service desk content and broader employee journey remain outside the core UPE scope.</t>
  </si>
  <si>
    <t>RTR production improvement opportunity space.xlsx | Q3_Top problems | WS1-P008 | row 12</t>
  </si>
  <si>
    <t>Project Mobilisation / Governance (adjacent)</t>
  </si>
  <si>
    <t>UPE can provide standard mobilisation inputs, environment requirements and reusable digital-delivery checks that support earlier identification of technical risks.</t>
  </si>
  <si>
    <t>Tender governance, commercial risk management, mandatory early DDM involvement and project governance need separate process ownership.</t>
  </si>
  <si>
    <t>Consistency across departments in terms of digital plan and focus, lack of HoD KPIs</t>
  </si>
  <si>
    <t>RTR production improvement opportunity space.xlsx | Q3_Top problems | WS1-P027 | row 13</t>
  </si>
  <si>
    <t>Governance / Operating Model (adjacent)</t>
  </si>
  <si>
    <t>UPE can provide a common technical/product baseline and shared production direction across departments.</t>
  </si>
  <si>
    <t>Department plans, HoD KPIs, accountability and management governance are organisational measures outside UPE.</t>
  </si>
  <si>
    <t>RTR production improvement opportunity space.xlsx | Q3_Top problems | WS1-P018 | row 14</t>
  </si>
  <si>
    <t>UPE can package approved standards, project setup patterns and production knowledge into a reusable environment that makes standards easier to implement consistently.</t>
  </si>
  <si>
    <t>Enforcement, project-specific deviations, local ownership and behavioural adoption require governance and change management.</t>
  </si>
  <si>
    <t>RTR production improvement opportunity space.xlsx | Q3_Top problems | WS1-P020 | row 15</t>
  </si>
  <si>
    <t>Shared production knowledge can capture and expose reusable methods, patterns and validated practices across countries.</t>
  </si>
  <si>
    <t>Community management, incentives, innovation intake and tool/product sharing mechanisms may require separate processes/platforms.</t>
  </si>
  <si>
    <t>RTR production improvement opportunity space.xlsx | Q3_Top problems | WS1-P004 | row 16</t>
  </si>
  <si>
    <t>Security / Access Controls (constraint layer)</t>
  </si>
  <si>
    <t>UPE can support controlled environments, access patterns and approved platform configurations where technical controls are available.</t>
  </si>
  <si>
    <t>Contractual confidentiality, legal restrictions, data residency and client approvals cannot be solved by UPE alone.</t>
  </si>
  <si>
    <t>RTR production improvement opportunity space.xlsx | Q3_Top problems | WS1-P019 | row 17</t>
  </si>
  <si>
    <t>Shared Production Environment / Interoperability</t>
  </si>
  <si>
    <t>A common production environment and aligned platform/integration patterns can reduce coordination friction across disciplines.</t>
  </si>
  <si>
    <t>Multidisciplinary governance, responsibility matrices, delivery management and discipline coordination processes still require project-specific setup.</t>
  </si>
  <si>
    <t>RTR production improvement opportunity space.xlsx | Q3_Top problems | WS1-P014 | row 18</t>
  </si>
  <si>
    <t>Supported Production Platforms / Environment Architecture</t>
  </si>
  <si>
    <t>UPE explicitly targets aligned supported production platforms and streamlined production environments, reducing unnecessary platform fragmentation.</t>
  </si>
  <si>
    <t>Specific client-mandated platforms and project exceptions must be supported through governed tailoring rather than eliminated.</t>
  </si>
  <si>
    <t>RTR production improvement opportunity space.xlsx | Q3_Top problems | WS1-P015 | row 19</t>
  </si>
  <si>
    <t>Interoperability &amp; Information Exchange</t>
  </si>
  <si>
    <t>UPE interoperability patterns and integrated production environments can reduce manual file exchange and improve predictable exchange between vendor tools.</t>
  </si>
  <si>
    <t>Vendor-specific connectors, formats, APIs, licensing and client exchange requirements require implementation/customisation.</t>
  </si>
  <si>
    <t>RTR production improvement opportunity space.xlsx | Q3_Top problems | WS1-P002 | row 20</t>
  </si>
  <si>
    <t>Automation Enablement / Integration Foundation (adjacent)</t>
  </si>
  <si>
    <t>UPE can provide stable data, APIs, integration contracts and production environments into which validated tools can integrate.</t>
  </si>
  <si>
    <t>Productisation, funding, ownership, deployment pipelines and citizen-development governance require dedicated tooling/processes.</t>
  </si>
  <si>
    <t>RTR production improvement opportunity space.xlsx | Q3_Top problems | WS1-P016 | row 21</t>
  </si>
  <si>
    <t>Supported Platforms + Interoperability + Configuration Standards</t>
  </si>
  <si>
    <t>UPE can define aligned platform configurations, common interoperability rules and reusable setup standards across major production vendors.</t>
  </si>
  <si>
    <t>Detailed vendor templates/configurations, version compatibility and discipline/client-specific configuration require ongoing vendor-specific work.</t>
  </si>
  <si>
    <t>RTR production improvement opportunity space.xlsx | Q3_Top problems | WS1-P006 | row 22</t>
  </si>
  <si>
    <t>Production Data Governance + Interoperability</t>
  </si>
  <si>
    <t>UPE explicitly addresses data governance, supported platforms and interoperability, enabling common structures and predictable data exchange across tools.</t>
  </si>
  <si>
    <t>Tool-specific schemas, mappings, client data requirements and legacy project data require mapping/configuration per context.</t>
  </si>
  <si>
    <t>RTR production improvement opportunity space.xlsx | Q3_Top problems | WS1-P007 | row 23</t>
  </si>
  <si>
    <t>Production Data Governance / Common Information Structures</t>
  </si>
  <si>
    <t>UPE can establish common information structures, naming/metadata principles and mappings across production platforms.</t>
  </si>
  <si>
    <t>Discipline/client-specific taxonomies, classification systems and legacy naming conventions require governed extensions/mappings.</t>
  </si>
  <si>
    <t>RTR production improvement opportunity space.xlsx | Q3_Top problems | WS1-P003 | row 24</t>
  </si>
  <si>
    <t>UPE can provide trusted production data and controlled integration points for approved AI tools.</t>
  </si>
  <si>
    <t>Citizen-AI governance, approval, security review, ownership and tool lifecycle management are separate responsibilities.</t>
  </si>
  <si>
    <t>RTR production improvement opportunity space.xlsx | Q3_Top problems | WS1-P022 | row 25</t>
  </si>
  <si>
    <t>Production Knowledge / Automation Context (adjacent)</t>
  </si>
  <si>
    <t>UPE knowledge structures can document validated production patterns and provide contextual links to reusable automation.</t>
  </si>
  <si>
    <t>A dedicated script/tool catalogue, packaging standards, code documentation and reuse platform are not core UPE capabilities.</t>
  </si>
  <si>
    <t>RTR production improvement opportunity space.xlsx | Q3_Top problems | WS1-P023 | row 26</t>
  </si>
  <si>
    <t>Production Process &amp; Knowledge (adjacent)</t>
  </si>
  <si>
    <t>UPE can expose recommended platform capabilities, production patterns and guidance where these are incorporated into governed knowledge.</t>
  </si>
  <si>
    <t>Vendor-feature training, discipline upskilling and continuous competence development remain outside UPE.</t>
  </si>
  <si>
    <t>RTR production improvement opportunity space.xlsx | Q3_Top problems | WS1-P025 | row 27</t>
  </si>
  <si>
    <t>No core UPE module</t>
  </si>
  <si>
    <t>UPE may provide evidence of standardised digital delivery value and reusable production capability, but does not directly change commercial models.</t>
  </si>
  <si>
    <t>Pricing, contractual recovery, resource funding and commercial incentives require management/commercial decisions.</t>
  </si>
  <si>
    <t>RTR production improvement opportunity space.xlsx | Q3_Top problems | WS1-P010 | row 28</t>
  </si>
  <si>
    <t>Production Data Governance / Data-centric Delivery</t>
  </si>
  <si>
    <t>UPE data-governance and data-centric delivery principles can define controlled information structures, lineage and expected change-management mechanisms.</t>
  </si>
  <si>
    <t>Detailed audit trails, transaction history, workflow approvals and tool-specific change control require implementation in the selected platforms.</t>
  </si>
  <si>
    <t>RTR production improvement opportunity space.xlsx | Q3_Top problems | WS1-P024 | row 29</t>
  </si>
  <si>
    <t>Production Process &amp; Knowledge + Supported Platforms</t>
  </si>
  <si>
    <t>Common production knowledge and aligned platform guidance can reduce variation in how digital requirements are understood and applied.</t>
  </si>
  <si>
    <t>Formal training, competence assessment, discipline coaching and role development are not delivered by UPE itself.</t>
  </si>
  <si>
    <t>RTR production improvement opportunity space.xlsx | Q3_Top problems | WS1-P005 | row 30</t>
  </si>
  <si>
    <t>Security / Governance Constraint Layer</t>
  </si>
  <si>
    <t>UPE can support approved configurations and restrict use of platforms/data flows where project controls are defined.</t>
  </si>
  <si>
    <t>Client policy, legal restrictions, AI permission and cross-border resource rules remain external constraints requiring project-specific compliance.</t>
  </si>
  <si>
    <t>RTR production improvement opportunity space.xlsx | Q3_Top problems | WS1-P021 | row 31</t>
  </si>
  <si>
    <t>R&amp;D / Integration Foundation (adjacent)</t>
  </si>
  <si>
    <t>UPE can provide an architectural target and integration environment for validated prototypes that become part of production workflows.</t>
  </si>
  <si>
    <t>Product ownership, support model, CI/CD, funding, security approval and software product lifecycle require dedicated processes.</t>
  </si>
  <si>
    <t>RTR production improvement opportunity space.xlsx | Q3_Top problems | WS1-P009 | row 32</t>
  </si>
  <si>
    <t>Production Data Foundation (adjacent)</t>
  </si>
  <si>
    <t>UPE can improve availability and consistency of structured production data that could feed project-performance reporting.</t>
  </si>
  <si>
    <t>KPI definition, live dashboards, management reporting, time/cost data integration and performance analytics require dedicated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</si>
</sst>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dd\ mmm\ yyyy"/>
  </numFmts>
  <fonts count="30">
    <font>
      <sz val="11"/>
      <color theme="1"/>
      <name val="Calibri"/>
      <family val="2"/>
      <scheme val="minor"/>
    </font>
    <font>
      <b/>
      <sz val="11"/>
      <color rgb="FFFFFFFF"/>
      <name val="Calibri"/>
      <family val="2"/>
      <scheme val="minor"/>
    </font>
    <font>
      <b/>
      <sz val="18"/>
      <color rgb="FFFFFFFF"/>
      <name val="Calibri"/>
      <family val="2"/>
      <scheme val="minor"/>
    </font>
    <font>
      <i/>
      <sz val="11"/>
      <color rgb="FF666666"/>
      <name val="Calibri"/>
      <family val="2"/>
      <scheme val="minor"/>
    </font>
    <font>
      <b/>
      <sz val="11"/>
      <color theme="1"/>
      <name val="Calibri"/>
      <family val="2"/>
      <scheme val="minor"/>
    </font>
    <font>
      <b/>
      <sz val="11"/>
      <color rgb="FF2F75B5"/>
      <name val="Calibri"/>
      <family val="2"/>
      <scheme val="minor"/>
    </font>
    <font>
      <b/>
      <sz val="18"/>
      <color rgb="FFFFFFFF"/>
      <name val="Aptos"/>
    </font>
    <font>
      <i/>
      <sz val="10"/>
      <color rgb="FF555555"/>
      <name val="Aptos"/>
    </font>
    <font>
      <sz val="11"/>
      <color theme="1"/>
      <name val="Aptos"/>
    </font>
    <font>
      <b/>
      <sz val="11"/>
      <color rgb="FF7F2704"/>
      <name val="Aptos"/>
    </font>
    <font>
      <b/>
      <sz val="11"/>
      <color rgb="FFFFFFFF"/>
      <name val="Aptos"/>
    </font>
    <font>
      <i/>
      <sz val="10"/>
      <color rgb="FF666666"/>
      <name val="Calibri"/>
      <family val="2"/>
      <scheme val="minor"/>
    </font>
    <font>
      <b/>
      <sz val="11"/>
      <color rgb="FF7F6000"/>
      <name val="Calibri"/>
      <family val="2"/>
      <scheme val="minor"/>
    </font>
    <font>
      <sz val="10"/>
      <color theme="1"/>
      <name val="Calibri"/>
      <family val="2"/>
      <scheme val="minor"/>
    </font>
    <font>
      <b/>
      <sz val="11"/>
      <color theme="0"/>
      <name val="Calibri"/>
      <family val="2"/>
      <scheme val="minor"/>
    </font>
    <font>
      <sz val="11"/>
      <color theme="1"/>
      <name val="Calibri"/>
      <charset val="1"/>
    </font>
    <font>
      <b/>
      <sz val="10"/>
      <color theme="1"/>
      <name val="Calibri"/>
      <scheme val="minor"/>
    </font>
    <font>
      <sz val="10"/>
      <color theme="1"/>
      <name val="Calibri"/>
      <scheme val="minor"/>
    </font>
    <font>
      <b/>
      <sz val="10"/>
      <color rgb="FF000000"/>
      <name val="Calibri"/>
      <scheme val="minor"/>
    </font>
    <font>
      <sz val="10"/>
      <color rgb="FF000000"/>
      <name val="Calibri"/>
      <scheme val="minor"/>
    </font>
    <font>
      <b/>
      <sz val="11"/>
      <color theme="1"/>
      <name val="Calibri"/>
      <charset val="1"/>
    </font>
    <font>
      <b/>
      <sz val="10"/>
      <color theme="1"/>
      <name val="Calibri"/>
      <charset val="1"/>
    </font>
    <font>
      <sz val="10"/>
      <color theme="1"/>
      <name val="Calibri"/>
      <charset val="1"/>
    </font>
    <font>
      <sz val="12"/>
      <color theme="1"/>
      <name val="Calibri"/>
      <family val="2"/>
      <scheme val="minor"/>
    </font>
    <font>
      <sz val="14"/>
      <color theme="1"/>
      <name val="Calibri"/>
      <family val="2"/>
      <scheme val="minor"/>
    </font>
    <font>
      <sz val="14"/>
      <color theme="1"/>
      <name val="Calibri"/>
      <charset val="1"/>
    </font>
    <font>
      <b/>
      <sz val="11"/>
      <color theme="1"/>
      <name val="Segoe UI"/>
      <charset val="1"/>
    </font>
    <font>
      <sz val="11"/>
      <name val="Carlito"/>
    </font>
    <font>
      <b/>
      <sz val="11"/>
      <color rgb="FFFFFFFF"/>
      <name val="Carlito"/>
    </font>
    <font>
      <sz val="11"/>
      <color rgb="FF0563C1"/>
      <name val="Carlito"/>
    </font>
  </fonts>
  <fills count="13">
    <fill>
      <patternFill patternType="none"/>
    </fill>
    <fill>
      <patternFill patternType="gray125"/>
    </fill>
    <fill>
      <patternFill patternType="solid">
        <fgColor rgb="FF17365D"/>
        <bgColor indexed="64"/>
      </patternFill>
    </fill>
    <fill>
      <patternFill patternType="solid">
        <fgColor rgb="FF2F75B5"/>
        <bgColor indexed="64"/>
      </patternFill>
    </fill>
    <fill>
      <patternFill patternType="solid">
        <fgColor rgb="FF1F4E78"/>
        <bgColor indexed="64"/>
      </patternFill>
    </fill>
    <fill>
      <patternFill patternType="solid">
        <fgColor rgb="FFD9EAF7"/>
        <bgColor indexed="64"/>
      </patternFill>
    </fill>
    <fill>
      <patternFill patternType="solid">
        <fgColor rgb="FFF4B183"/>
        <bgColor indexed="64"/>
      </patternFill>
    </fill>
    <fill>
      <patternFill patternType="solid">
        <fgColor rgb="FF4472C4"/>
        <bgColor indexed="64"/>
      </patternFill>
    </fill>
    <fill>
      <patternFill patternType="solid">
        <fgColor rgb="FF2F5597"/>
        <bgColor indexed="64"/>
      </patternFill>
    </fill>
    <fill>
      <patternFill patternType="solid">
        <fgColor rgb="FFFFF2CC"/>
        <bgColor indexed="64"/>
      </patternFill>
    </fill>
    <fill>
      <patternFill patternType="solid">
        <fgColor rgb="FF203864"/>
        <bgColor indexed="64"/>
      </patternFill>
    </fill>
    <fill>
      <patternFill patternType="solid">
        <fgColor theme="4"/>
        <bgColor theme="4"/>
      </patternFill>
    </fill>
    <fill>
      <patternFill patternType="solid">
        <fgColor rgb="FF1F4E78"/>
      </patternFill>
    </fill>
  </fills>
  <borders count="4">
    <border>
      <left/>
      <right/>
      <top/>
      <bottom/>
      <diagonal/>
    </border>
    <border>
      <left/>
      <right/>
      <top/>
      <bottom style="thin">
        <color auto="1"/>
      </bottom>
      <diagonal/>
    </border>
    <border>
      <left/>
      <right/>
      <top style="thin">
        <color theme="4" tint="0.39997558519241921"/>
      </top>
      <bottom style="thin">
        <color theme="4" tint="0.39997558519241921"/>
      </bottom>
      <diagonal/>
    </border>
    <border>
      <left style="medium">
        <color rgb="FFA3A3A3"/>
      </left>
      <right style="medium">
        <color rgb="FFA3A3A3"/>
      </right>
      <top style="medium">
        <color rgb="FFA3A3A3"/>
      </top>
      <bottom style="medium">
        <color rgb="FFA3A3A3"/>
      </bottom>
      <diagonal/>
    </border>
  </borders>
  <cellStyleXfs count="2">
    <xf numFmtId="0" fontId="0" fillId="0" borderId="0"/>
    <xf numFmtId="0" fontId="27" fillId="0" borderId="0"/>
  </cellStyleXfs>
  <cellXfs count="58">
    <xf numFmtId="0" fontId="0" fillId="0" borderId="0" xfId="0"/>
    <xf numFmtId="0" fontId="4" fillId="0" borderId="0" xfId="0" applyFont="1" applyAlignment="1">
      <alignment wrapText="1"/>
    </xf>
    <xf numFmtId="0" fontId="0" fillId="0" borderId="0" xfId="0" applyAlignment="1">
      <alignment wrapText="1"/>
    </xf>
    <xf numFmtId="0" fontId="4" fillId="0" borderId="1" xfId="0" applyFont="1" applyBorder="1" applyAlignment="1">
      <alignment wrapText="1"/>
    </xf>
    <xf numFmtId="0" fontId="0" fillId="0" borderId="1" xfId="0" applyBorder="1" applyAlignment="1">
      <alignment wrapText="1"/>
    </xf>
    <xf numFmtId="0" fontId="5" fillId="0" borderId="0" xfId="0" applyFont="1" applyAlignment="1">
      <alignment wrapText="1"/>
    </xf>
    <xf numFmtId="164" fontId="0" fillId="0" borderId="0" xfId="0" applyNumberFormat="1"/>
    <xf numFmtId="0" fontId="8" fillId="0" borderId="0" xfId="0" applyFont="1"/>
    <xf numFmtId="0" fontId="10" fillId="7" borderId="0" xfId="0" applyFont="1" applyFill="1" applyAlignment="1">
      <alignment horizontal="center" vertical="center" wrapText="1"/>
    </xf>
    <xf numFmtId="0" fontId="1" fillId="8" borderId="0" xfId="0" applyFont="1" applyFill="1" applyAlignment="1">
      <alignment horizontal="center" vertical="center"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0" fontId="0" fillId="0" borderId="0" xfId="0" applyAlignment="1">
      <alignment horizontal="left" vertical="top" wrapText="1"/>
    </xf>
    <xf numFmtId="0" fontId="1" fillId="10" borderId="0" xfId="0" applyFont="1" applyFill="1" applyAlignment="1">
      <alignment horizontal="center" vertical="center" wrapText="1"/>
    </xf>
    <xf numFmtId="0" fontId="13" fillId="0" borderId="0" xfId="0" applyFont="1" applyAlignment="1">
      <alignment vertical="top" wrapText="1"/>
    </xf>
    <xf numFmtId="0" fontId="13" fillId="0" borderId="0" xfId="0" applyFont="1" applyAlignment="1">
      <alignment horizontal="left" vertical="top" wrapText="1"/>
    </xf>
    <xf numFmtId="1" fontId="0" fillId="0" borderId="0" xfId="0" applyNumberFormat="1"/>
    <xf numFmtId="0" fontId="3" fillId="0" borderId="0" xfId="0" applyFont="1" applyAlignment="1">
      <alignment wrapText="1"/>
    </xf>
    <xf numFmtId="0" fontId="2" fillId="4" borderId="0" xfId="0" applyFont="1" applyFill="1" applyAlignment="1">
      <alignment vertical="center"/>
    </xf>
    <xf numFmtId="0" fontId="12" fillId="9" borderId="0" xfId="0" applyFont="1" applyFill="1" applyAlignment="1">
      <alignment vertical="center" wrapText="1"/>
    </xf>
    <xf numFmtId="0" fontId="14" fillId="11" borderId="0" xfId="0" applyFont="1" applyFill="1" applyAlignment="1">
      <alignment horizontal="center" wrapText="1"/>
    </xf>
    <xf numFmtId="0" fontId="14" fillId="11" borderId="2" xfId="0" applyFont="1" applyFill="1" applyBorder="1" applyAlignment="1">
      <alignment wrapText="1"/>
    </xf>
    <xf numFmtId="0" fontId="14" fillId="11" borderId="0" xfId="0" applyFont="1" applyFill="1" applyAlignment="1">
      <alignment wrapText="1"/>
    </xf>
    <xf numFmtId="0" fontId="3" fillId="0" borderId="0" xfId="0" applyFont="1" applyAlignment="1">
      <alignment horizontal="left" wrapText="1"/>
    </xf>
    <xf numFmtId="0" fontId="16" fillId="0" borderId="0" xfId="0" applyFont="1" applyAlignment="1">
      <alignment wrapText="1"/>
    </xf>
    <xf numFmtId="0" fontId="16" fillId="0" borderId="0" xfId="0" applyFont="1"/>
    <xf numFmtId="0" fontId="18" fillId="0" borderId="0" xfId="0" applyFont="1" applyAlignment="1">
      <alignment wrapText="1"/>
    </xf>
    <xf numFmtId="0" fontId="20" fillId="0" borderId="3" xfId="0" applyFont="1" applyBorder="1" applyAlignment="1">
      <alignment wrapText="1" readingOrder="1"/>
    </xf>
    <xf numFmtId="0" fontId="21" fillId="0" borderId="3" xfId="0" applyFont="1" applyBorder="1" applyAlignment="1">
      <alignment wrapText="1" readingOrder="1"/>
    </xf>
    <xf numFmtId="0" fontId="2" fillId="2" borderId="0" xfId="0" applyFont="1" applyFill="1" applyAlignment="1">
      <alignment horizontal="left"/>
    </xf>
    <xf numFmtId="0" fontId="23" fillId="0" borderId="0" xfId="0" applyFont="1" applyAlignment="1">
      <alignment horizontal="left" vertical="top" wrapText="1"/>
    </xf>
    <xf numFmtId="0" fontId="24" fillId="0" borderId="0" xfId="0" applyFont="1" applyAlignment="1">
      <alignment vertical="top" wrapText="1"/>
    </xf>
    <xf numFmtId="1" fontId="25" fillId="0" borderId="3" xfId="0" applyNumberFormat="1" applyFont="1" applyBorder="1" applyAlignment="1">
      <alignment horizontal="center" readingOrder="1"/>
    </xf>
    <xf numFmtId="165" fontId="25" fillId="0" borderId="3" xfId="0" applyNumberFormat="1" applyFont="1" applyBorder="1" applyAlignment="1">
      <alignment horizontal="center" readingOrder="1"/>
    </xf>
    <xf numFmtId="1" fontId="24" fillId="0" borderId="0" xfId="0" applyNumberFormat="1" applyFont="1" applyAlignment="1">
      <alignment horizontal="center" wrapText="1"/>
    </xf>
    <xf numFmtId="0" fontId="24" fillId="0" borderId="0" xfId="0" applyFont="1" applyAlignment="1">
      <alignment horizontal="left" vertical="top" wrapText="1"/>
    </xf>
    <xf numFmtId="0" fontId="22" fillId="0" borderId="3" xfId="0" applyFont="1" applyBorder="1" applyAlignment="1">
      <alignment wrapText="1" readingOrder="1"/>
    </xf>
    <xf numFmtId="0" fontId="15" fillId="0" borderId="3" xfId="0" applyFont="1" applyBorder="1" applyAlignment="1">
      <alignment wrapText="1" readingOrder="1"/>
    </xf>
    <xf numFmtId="0" fontId="26" fillId="0" borderId="0" xfId="0" applyFont="1" applyAlignment="1">
      <alignment wrapText="1"/>
    </xf>
    <xf numFmtId="1" fontId="0" fillId="0" borderId="0" xfId="0" applyNumberFormat="1" applyAlignment="1">
      <alignment wrapText="1"/>
    </xf>
    <xf numFmtId="1" fontId="0" fillId="0" borderId="0" xfId="0" applyNumberFormat="1" applyAlignment="1">
      <alignment vertical="top" wrapText="1"/>
    </xf>
    <xf numFmtId="166" fontId="0" fillId="0" borderId="0" xfId="0" applyNumberFormat="1" applyAlignment="1">
      <alignment wrapText="1"/>
    </xf>
    <xf numFmtId="0" fontId="28" fillId="12" borderId="0" xfId="1" applyFont="1" applyFill="1" applyAlignment="1">
      <alignment horizontal="center" vertical="center" wrapText="1"/>
    </xf>
    <xf numFmtId="0" fontId="27" fillId="0" borderId="0" xfId="1"/>
    <xf numFmtId="0" fontId="27" fillId="0" borderId="0" xfId="1" applyAlignment="1">
      <alignment vertical="top" wrapText="1"/>
    </xf>
    <xf numFmtId="0" fontId="2" fillId="2" borderId="0" xfId="0" applyFont="1" applyFill="1"/>
    <xf numFmtId="0" fontId="3" fillId="0" borderId="0" xfId="0" applyFont="1"/>
    <xf numFmtId="0" fontId="3" fillId="0" borderId="0" xfId="0" applyFont="1" applyAlignment="1">
      <alignment wrapText="1"/>
    </xf>
    <xf numFmtId="0" fontId="1" fillId="3" borderId="0" xfId="0" applyFont="1" applyFill="1"/>
    <xf numFmtId="0" fontId="1" fillId="3" borderId="0" xfId="0" applyFont="1" applyFill="1" applyAlignment="1">
      <alignment wrapText="1"/>
    </xf>
    <xf numFmtId="0" fontId="2" fillId="2" borderId="0" xfId="0" applyFont="1" applyFill="1" applyAlignment="1">
      <alignment horizontal="left"/>
    </xf>
    <xf numFmtId="0" fontId="11" fillId="0" borderId="0" xfId="0" applyFont="1" applyAlignment="1">
      <alignment wrapText="1"/>
    </xf>
    <xf numFmtId="0" fontId="1" fillId="7" borderId="0" xfId="0" applyFont="1" applyFill="1"/>
    <xf numFmtId="0" fontId="6" fillId="4" borderId="0" xfId="0" applyFont="1" applyFill="1" applyAlignment="1">
      <alignment vertical="center"/>
    </xf>
    <xf numFmtId="0" fontId="7" fillId="5" borderId="0" xfId="0" applyFont="1" applyFill="1" applyAlignment="1">
      <alignment vertical="center" wrapText="1"/>
    </xf>
    <xf numFmtId="0" fontId="9" fillId="6" borderId="0" xfId="0" applyFont="1" applyFill="1" applyAlignment="1">
      <alignment horizontal="center"/>
    </xf>
    <xf numFmtId="0" fontId="29" fillId="0" borderId="0" xfId="0" applyFont="1" applyAlignment="1">
      <alignment vertical="top" wrapText="1"/>
    </xf>
  </cellXfs>
  <cellStyles count="2">
    <cellStyle name="Normal" xfId="0" builtinId="0"/>
    <cellStyle name="Normal 2" xfId="1" xr:uid="{C67E9AE3-60FE-464A-BED2-FE3152208892}"/>
  </cellStyles>
  <dxfs count="101">
    <dxf>
      <font>
        <color rgb="FF0563C1"/>
        <name val="Carlito"/>
        <scheme val="none"/>
      </font>
      <alignment horizontal="general" vertical="top" textRotation="0" wrapText="1" indent="0" justifyLastLine="0" shrinkToFit="0" readingOrder="0"/>
    </dxf>
    <dxf>
      <font>
        <sz val="10"/>
      </font>
      <alignment vertical="top" wrapText="1"/>
    </dxf>
    <dxf>
      <font>
        <sz val="10"/>
      </font>
      <alignment horizontal="general" vertical="top" textRotation="0" wrapText="1" indent="0" justifyLastLine="0" shrinkToFit="0" readingOrder="0"/>
    </dxf>
    <dxf>
      <font>
        <sz val="10"/>
      </font>
      <alignment horizontal="general" vertical="top" textRotation="0" wrapText="1" indent="0" justifyLastLine="0" shrinkToFit="0" readingOrder="0"/>
    </dxf>
    <dxf>
      <font>
        <sz val="10"/>
      </font>
      <alignment vertical="top" wrapText="1"/>
    </dxf>
    <dxf>
      <font>
        <b val="0"/>
      </font>
      <alignment wrapText="1"/>
    </dxf>
    <dxf>
      <font>
        <b/>
        <i val="0"/>
        <strike val="0"/>
        <condense val="0"/>
        <extend val="0"/>
        <outline val="0"/>
        <shadow val="0"/>
        <u val="none"/>
        <vertAlign val="baseline"/>
        <sz val="10"/>
        <color theme="1"/>
        <name val="Calibri"/>
        <scheme val="minor"/>
      </font>
      <alignment horizontal="general" vertical="bottom" textRotation="0" wrapText="1" indent="0" justifyLastLine="0" shrinkToFit="0" readingOrder="0"/>
    </dxf>
    <dxf>
      <font>
        <sz val="10"/>
      </font>
      <alignment vertical="top" wrapText="1"/>
    </dxf>
    <dxf>
      <font>
        <sz val="10"/>
      </font>
      <alignment horizontal="general" vertical="top" textRotation="0" wrapText="1" indent="0" justifyLastLine="0" shrinkToFit="0" readingOrder="0"/>
    </dxf>
    <dxf>
      <font>
        <sz val="10"/>
      </font>
      <alignment horizontal="general" vertical="top" textRotation="0" wrapText="1" indent="0" justifyLastLine="0" shrinkToFit="0" readingOrder="0"/>
    </dxf>
    <dxf>
      <font>
        <b val="0"/>
        <i val="0"/>
        <strike val="0"/>
        <condense val="0"/>
        <extend val="0"/>
        <outline val="0"/>
        <shadow val="0"/>
        <u val="none"/>
        <vertAlign val="baseline"/>
        <sz val="14"/>
        <color theme="1"/>
        <name val="Calibri"/>
        <family val="2"/>
        <charset val="1"/>
        <scheme val="none"/>
      </font>
      <numFmt numFmtId="1" formatCode="0"/>
      <alignment horizontal="center" vertical="bottom" textRotation="0" wrapText="1" indent="0" justifyLastLine="0" shrinkToFit="0" readingOrder="0"/>
    </dxf>
    <dxf>
      <font>
        <b val="0"/>
        <i val="0"/>
        <strike val="0"/>
        <condense val="0"/>
        <extend val="0"/>
        <outline val="0"/>
        <shadow val="0"/>
        <u val="none"/>
        <vertAlign val="baseline"/>
        <sz val="14"/>
        <color theme="1"/>
        <name val="Calibri"/>
        <charset val="1"/>
        <scheme val="none"/>
      </font>
      <numFmt numFmtId="1" formatCode="0"/>
      <alignment horizontal="center" vertical="bottom" textRotation="0" wrapText="0" indent="0" justifyLastLine="0" shrinkToFit="0" readingOrder="1"/>
      <border diagonalUp="0" diagonalDown="0">
        <left style="medium">
          <color rgb="FFA3A3A3"/>
        </left>
        <right style="medium">
          <color rgb="FFA3A3A3"/>
        </right>
        <top style="medium">
          <color rgb="FFA3A3A3"/>
        </top>
        <bottom style="medium">
          <color rgb="FFA3A3A3"/>
        </bottom>
        <vertical/>
        <horizontal/>
      </border>
    </dxf>
    <dxf>
      <font>
        <b val="0"/>
        <i val="0"/>
        <strike val="0"/>
        <condense val="0"/>
        <extend val="0"/>
        <outline val="0"/>
        <shadow val="0"/>
        <u val="none"/>
        <vertAlign val="baseline"/>
        <sz val="14"/>
        <color theme="1"/>
        <name val="Calibri"/>
        <charset val="1"/>
        <scheme val="none"/>
      </font>
      <numFmt numFmtId="165" formatCode="0.0"/>
      <alignment horizontal="center" vertical="bottom" textRotation="0" wrapText="0" indent="0" justifyLastLine="0" shrinkToFit="0" readingOrder="1"/>
      <border diagonalUp="0" diagonalDown="0">
        <left style="medium">
          <color rgb="FFA3A3A3"/>
        </left>
        <right style="medium">
          <color rgb="FFA3A3A3"/>
        </right>
        <top style="medium">
          <color rgb="FFA3A3A3"/>
        </top>
        <bottom style="medium">
          <color rgb="FFA3A3A3"/>
        </bottom>
        <vertical/>
        <horizontal/>
      </border>
    </dxf>
    <dxf>
      <font>
        <sz val="14"/>
        <charset val="1"/>
      </font>
      <numFmt numFmtId="1" formatCode="0"/>
      <alignment horizontal="center" vertical="bottom" textRotation="0" wrapText="0" indent="0" justifyLastLine="0" shrinkToFit="0" readingOrder="1"/>
      <border diagonalUp="0" diagonalDown="0">
        <left style="medium">
          <color rgb="FFA3A3A3"/>
        </left>
        <right style="medium">
          <color rgb="FFA3A3A3"/>
        </right>
        <top style="medium">
          <color rgb="FFA3A3A3"/>
        </top>
        <bottom style="medium">
          <color rgb="FFA3A3A3"/>
        </bottom>
        <vertical/>
        <horizontal/>
      </border>
    </dxf>
    <dxf>
      <font>
        <sz val="14"/>
      </font>
      <alignment vertical="top" wrapText="1"/>
    </dxf>
    <dxf>
      <font>
        <sz val="10"/>
      </font>
      <alignment horizontal="left" vertical="top" wrapText="1"/>
    </dxf>
    <dxf>
      <font>
        <sz val="14"/>
      </font>
      <alignment horizontal="left" vertical="top" wrapText="1"/>
    </dxf>
    <dxf>
      <font>
        <sz val="12"/>
      </font>
      <alignment horizontal="left" vertical="top" wrapText="1"/>
    </dxf>
    <dxf>
      <font>
        <sz val="10"/>
      </font>
      <alignment vertical="top" wrapText="1"/>
    </dxf>
    <dxf>
      <font>
        <b/>
        <color rgb="FFFFFFFF"/>
      </font>
      <fill>
        <patternFill patternType="solid">
          <fgColor indexed="64"/>
          <bgColor rgb="FF203864"/>
        </patternFill>
      </fill>
      <alignment horizontal="center" vertical="center" wrapText="1"/>
    </dxf>
    <dxf>
      <alignment horizontal="center" vertical="top"/>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wrapText="1"/>
    </dxf>
    <dxf>
      <alignment vertical="top" wrapText="1"/>
    </dxf>
    <dxf>
      <alignment vertical="top" wrapText="1"/>
    </dxf>
    <dxf>
      <alignment vertical="top"/>
    </dxf>
    <dxf>
      <alignment vertical="top" wrapText="1"/>
    </dxf>
    <dxf>
      <alignment vertical="top" wrapText="1"/>
    </dxf>
    <dxf>
      <alignment vertical="top" wrapText="1"/>
    </dxf>
    <dxf>
      <alignment vertical="top" wrapText="1"/>
    </dxf>
    <dxf>
      <alignment vertical="top" wrapText="1"/>
    </dxf>
    <dxf>
      <alignment vertical="top" wrapText="1"/>
    </dxf>
    <dxf>
      <alignment vertical="top"/>
    </dxf>
    <dxf>
      <alignment vertical="top"/>
    </dxf>
    <dxf>
      <alignment vertical="top"/>
    </dxf>
    <dxf>
      <alignment vertical="top"/>
    </dxf>
    <dxf>
      <font>
        <b/>
        <color rgb="FFFFFFFF"/>
      </font>
      <fill>
        <patternFill patternType="solid">
          <fgColor indexed="64"/>
          <bgColor rgb="FF2F5597"/>
        </patternFill>
      </fill>
      <alignment horizontal="center" vertical="center" wrapText="1"/>
    </dxf>
    <dxf>
      <alignment wrapText="1"/>
    </dxf>
    <dxf>
      <alignment wrapText="1"/>
    </dxf>
    <dxf>
      <alignment wrapText="1"/>
    </dxf>
    <dxf>
      <numFmt numFmtId="164" formatCode="yyyy\-mm\-dd"/>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0"/>
    </dxf>
    <dxf>
      <numFmt numFmtId="164" formatCode="yyyy\-mm\-dd"/>
    </dxf>
    <dxf>
      <alignment wrapText="0"/>
    </dxf>
    <dxf>
      <alignment wrapText="0"/>
    </dxf>
    <dxf>
      <alignment horizontal="general" vertical="bottom" textRotation="0" wrapText="1" indent="0" justifyLastLine="0" shrinkToFit="0" readingOrder="0"/>
    </dxf>
    <dxf>
      <alignment horizontal="general" vertical="bottom" textRotation="0" wrapText="1" indent="0" justifyLastLine="0" shrinkToFit="0" readingOrder="0"/>
    </dxf>
    <dxf>
      <alignment wrapText="1"/>
    </dxf>
    <dxf>
      <alignment wrapText="1"/>
    </dxf>
    <dxf>
      <alignment wrapText="1"/>
    </dxf>
    <dxf>
      <numFmt numFmtId="1" formatCode="0"/>
    </dxf>
    <dxf>
      <alignment wrapText="1"/>
    </dxf>
    <dxf>
      <alignment vertical="top" wrapText="1"/>
    </dxf>
    <dxf>
      <numFmt numFmtId="1" formatCode="0"/>
      <alignment horizontal="general" vertical="top" textRotation="0" wrapText="1" indent="0" justifyLastLine="0" shrinkToFit="0" readingOrder="0"/>
    </dxf>
    <dxf>
      <numFmt numFmtId="1" formatCode="0"/>
      <alignment horizontal="general" vertical="top" textRotation="0" wrapText="1" indent="0" justifyLastLine="0" shrinkToFit="0" readingOrder="0"/>
    </dxf>
    <dxf>
      <numFmt numFmtId="1" formatCode="0"/>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alignment horizontal="general" vertical="bottom" textRotation="0" wrapText="1" indent="0" justifyLastLine="0" shrinkToFit="0" readingOrder="0"/>
    </dxf>
    <dxf>
      <numFmt numFmtId="1" formatCode="0"/>
      <alignment horizontal="general" vertical="bottom" textRotation="0" wrapText="1" indent="0" justifyLastLine="0" shrinkToFit="0" readingOrder="0"/>
    </dxf>
    <dxf>
      <alignment wrapText="1"/>
    </dxf>
    <dxf>
      <alignment wrapText="1"/>
    </dxf>
    <dxf>
      <alignment wrapText="1"/>
    </dxf>
    <dxf>
      <alignment horizontal="general" vertical="bottom" textRotation="0" wrapText="1" indent="0" justifyLastLine="0" shrinkToFit="0" readingOrder="0"/>
    </dxf>
    <dxf>
      <alignment wrapText="1"/>
    </dxf>
    <dxf>
      <alignment wrapText="1"/>
    </dxf>
    <dxf>
      <font>
        <sz val="10"/>
      </font>
      <alignment vertical="top" wrapText="1"/>
    </dxf>
    <dxf>
      <font>
        <sz val="10"/>
      </font>
      <alignment horizontal="general" vertical="top" textRotation="0" wrapText="1" indent="0" justifyLastLine="0" shrinkToFit="0" readingOrder="0"/>
    </dxf>
    <dxf>
      <font>
        <sz val="10"/>
      </font>
      <alignment horizontal="general" vertical="top" textRotation="0" wrapText="1" indent="0" justifyLastLine="0" shrinkToFit="0" readingOrder="0"/>
    </dxf>
    <dxf>
      <font>
        <sz val="10"/>
      </font>
      <alignment vertical="top" wrapText="1"/>
    </dxf>
    <dxf>
      <alignment wrapText="1"/>
    </dxf>
    <dxf>
      <font>
        <b/>
        <i val="0"/>
        <strike val="0"/>
        <condense val="0"/>
        <extend val="0"/>
        <outline val="0"/>
        <shadow val="0"/>
        <u val="none"/>
        <vertAlign val="baseline"/>
        <sz val="10"/>
        <color theme="1"/>
        <name val="Calibri"/>
        <scheme val="minor"/>
      </font>
      <alignment horizontal="general" vertical="bottom" textRotation="0" wrapText="1" indent="0" justifyLastLine="0" shrinkToFit="0" readingOrder="0"/>
    </dxf>
    <dxf>
      <font>
        <sz val="10"/>
      </font>
      <alignment vertical="top" wrapText="1"/>
    </dxf>
    <dxf>
      <font>
        <sz val="10"/>
      </font>
      <alignment horizontal="general" vertical="top" textRotation="0" wrapText="1" indent="0" justifyLastLine="0" shrinkToFit="0" readingOrder="0"/>
    </dxf>
    <dxf>
      <font>
        <sz val="10"/>
      </font>
      <alignment horizontal="general" vertical="top" textRotation="0" wrapText="1" indent="0" justifyLastLine="0" shrinkToFit="0" readingOrder="0"/>
    </dxf>
    <dxf>
      <font>
        <b val="0"/>
        <i val="0"/>
        <strike val="0"/>
        <condense val="0"/>
        <extend val="0"/>
        <outline val="0"/>
        <shadow val="0"/>
        <u val="none"/>
        <vertAlign val="baseline"/>
        <sz val="14"/>
        <color theme="1"/>
        <name val="Calibri"/>
        <family val="2"/>
        <charset val="1"/>
        <scheme val="none"/>
      </font>
      <numFmt numFmtId="1" formatCode="0"/>
      <alignment horizontal="center" vertical="bottom" textRotation="0" wrapText="1" indent="0" justifyLastLine="0" shrinkToFit="0" readingOrder="0"/>
    </dxf>
    <dxf>
      <font>
        <b val="0"/>
        <i val="0"/>
        <strike val="0"/>
        <condense val="0"/>
        <extend val="0"/>
        <outline val="0"/>
        <shadow val="0"/>
        <u val="none"/>
        <vertAlign val="baseline"/>
        <sz val="14"/>
        <color theme="1"/>
        <name val="Calibri"/>
        <charset val="1"/>
        <scheme val="none"/>
      </font>
      <numFmt numFmtId="1" formatCode="0"/>
      <alignment horizontal="center" vertical="bottom" textRotation="0" wrapText="0" indent="0" justifyLastLine="0" shrinkToFit="0" readingOrder="1"/>
      <border diagonalUp="0" diagonalDown="0">
        <left style="medium">
          <color rgb="FFA3A3A3"/>
        </left>
        <right style="medium">
          <color rgb="FFA3A3A3"/>
        </right>
        <top style="medium">
          <color rgb="FFA3A3A3"/>
        </top>
        <bottom style="medium">
          <color rgb="FFA3A3A3"/>
        </bottom>
        <vertical/>
        <horizontal/>
      </border>
    </dxf>
    <dxf>
      <font>
        <b val="0"/>
        <i val="0"/>
        <strike val="0"/>
        <condense val="0"/>
        <extend val="0"/>
        <outline val="0"/>
        <shadow val="0"/>
        <u val="none"/>
        <vertAlign val="baseline"/>
        <sz val="14"/>
        <color theme="1"/>
        <name val="Calibri"/>
        <charset val="1"/>
        <scheme val="none"/>
      </font>
      <numFmt numFmtId="165" formatCode="0.0"/>
      <alignment horizontal="center" vertical="bottom" textRotation="0" wrapText="0" indent="0" justifyLastLine="0" shrinkToFit="0" readingOrder="1"/>
      <border diagonalUp="0" diagonalDown="0">
        <left style="medium">
          <color rgb="FFA3A3A3"/>
        </left>
        <right style="medium">
          <color rgb="FFA3A3A3"/>
        </right>
        <top style="medium">
          <color rgb="FFA3A3A3"/>
        </top>
        <bottom style="medium">
          <color rgb="FFA3A3A3"/>
        </bottom>
        <vertical/>
        <horizontal/>
      </border>
    </dxf>
    <dxf>
      <font>
        <sz val="14"/>
        <charset val="1"/>
      </font>
      <numFmt numFmtId="1" formatCode="0"/>
      <alignment horizontal="center" vertical="bottom" textRotation="0" wrapText="0" indent="0" justifyLastLine="0" shrinkToFit="0" readingOrder="1"/>
      <border diagonalUp="0" diagonalDown="0">
        <left style="medium">
          <color rgb="FFA3A3A3"/>
        </left>
        <right style="medium">
          <color rgb="FFA3A3A3"/>
        </right>
        <top style="medium">
          <color rgb="FFA3A3A3"/>
        </top>
        <bottom style="medium">
          <color rgb="FFA3A3A3"/>
        </bottom>
        <vertical/>
        <horizontal/>
      </border>
    </dxf>
    <dxf>
      <font>
        <sz val="14"/>
      </font>
      <alignment vertical="top" wrapText="1"/>
    </dxf>
    <dxf>
      <font>
        <sz val="10"/>
      </font>
      <alignment horizontal="left" vertical="top" wrapText="1"/>
    </dxf>
    <dxf>
      <font>
        <sz val="14"/>
      </font>
      <alignment horizontal="left" vertical="top" wrapText="1"/>
    </dxf>
    <dxf>
      <font>
        <sz val="12"/>
      </font>
      <alignment horizontal="left" vertical="top" wrapText="1"/>
    </dxf>
    <dxf>
      <font>
        <sz val="10"/>
      </font>
      <alignment vertical="top" wrapText="1"/>
    </dxf>
    <dxf>
      <font>
        <b/>
        <color rgb="FFFFFFFF"/>
      </font>
      <fill>
        <patternFill patternType="solid">
          <fgColor indexed="64"/>
          <bgColor rgb="FF203864"/>
        </patternFill>
      </fill>
      <alignment horizontal="center" vertical="center"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18D619F-967B-4510-8CD4-535855242A76}" name="tblTMPClusterProposals" displayName="tblTMPClusterProposals" ref="A4:Q11" totalsRowShown="0" headerRowDxfId="100" dataDxfId="99">
  <autoFilter ref="A4:Q11" xr:uid="{618D619F-967B-4510-8CD4-535855242A76}"/>
  <sortState xmlns:xlrd2="http://schemas.microsoft.com/office/spreadsheetml/2017/richdata2" ref="A5:Q11">
    <sortCondition descending="1" ref="F5:F11"/>
  </sortState>
  <tableColumns count="17">
    <tableColumn id="1" xr3:uid="{A0ED77AA-6B76-4BF5-ACDD-7EC340B8F0FE}" name="Cluster ID" dataDxfId="98"/>
    <tableColumn id="2" xr3:uid="{FC8DAA29-79E9-4450-8A00-9F5C2C123532}" name="Cluster Name" dataDxfId="97"/>
    <tableColumn id="3" xr3:uid="{EAACDF4E-F6EB-4713-BEBA-3F9F58D4A0D8}" name="Classification" dataDxfId="96"/>
    <tableColumn id="4" xr3:uid="{274066EC-45DE-407B-BA11-53E185A5AD04}" name="Cluster Description" dataDxfId="95"/>
    <tableColumn id="12" xr3:uid="{9996DDC8-2879-49E3-8813-60D472D52BF3}" name="Sum of cross-unit problem relevance+vote for the Primary Problem Assignments, WS1-08-26" dataDxfId="94"/>
    <tableColumn id="16" xr3:uid="{9709DBBC-E892-44DA-BE20-8A113B647F72}" name="Avg cross-unit relevance per primary problem (Col H, max 21), WS1 08-26" dataDxfId="93"/>
    <tableColumn id="20" xr3:uid="{D0C8A100-D096-4ADF-96F7-741D6231C3B2}" name="Number of existing local practices relevant to primary problem assignments" dataDxfId="92"/>
    <tableColumn id="15" xr3:uid="{558E6165-9899-4BC9-8C97-EA162F32ADD6}" name="Sum of cross-unit relevance for the relevant local practices, WS-06-262" dataDxfId="91"/>
    <tableColumn id="7" xr3:uid="{3D5195A5-C984-49E5-8A33-7D7B5D7AEDB9}" name="Primary Problem Assignments" dataDxfId="90"/>
    <tableColumn id="8" xr3:uid="{2F5328E1-131F-4128-AAD4-B8A24C7E6A86}" name="Secondary Problem Assignments" dataDxfId="89"/>
    <tableColumn id="9" xr3:uid="{C1F0F8FF-5785-4AEA-87FA-9CFC2547F3CC}" name="Cross-cutting Problem Assignments" dataDxfId="88"/>
    <tableColumn id="13" xr3:uid="{F1603679-134C-410F-BBEF-970FE7C564AA}" name="Relevant ongoing initiatives 08-26" dataDxfId="87"/>
    <tableColumn id="17" xr3:uid="{DD625B47-F6CF-4112-8DEE-3DDC5F99DA97}" name="Relevant existing local Standards and Practices Q2-26" dataDxfId="86"/>
    <tableColumn id="10" xr3:uid="{292E7128-66D4-4D8E-B209-30956761EDD6}" name="Why this is a useful or unsuitable focus area for initiative ideation" dataDxfId="85"/>
    <tableColumn id="5" xr3:uid="{A756E0ED-A8EC-44EA-B0CC-8055C11EE04D}" name="Inclusion Rule" dataDxfId="84"/>
    <tableColumn id="6" xr3:uid="{7A13CD0A-B22C-4354-96E7-78BDA0331A28}" name="Boundary Rule" dataDxfId="83"/>
    <tableColumn id="11" xr3:uid="{6C10A960-804D-4C60-BC2D-92DEAF808825}" name="Potential overlap or boundary issues requiring human review" dataDxfId="8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B37B7E-BE02-48C4-A95A-ECB9CDCBC7AB}" name="Problems" displayName="Problems" ref="A5:AG33" totalsRowShown="0" headerRowDxfId="81">
  <autoFilter ref="A5:AG33" xr:uid="{0FB37B7E-BE02-48C4-A95A-ECB9CDCBC7AB}"/>
  <tableColumns count="33">
    <tableColumn id="1" xr3:uid="{2EBE4CA3-1391-41D4-ABDE-1629D801115A}" name="Problem ID"/>
    <tableColumn id="2" xr3:uid="{54FD26E7-D0CD-4B10-A65D-522307D6B237}" name="Clusters WS1_08-26" dataDxfId="80"/>
    <tableColumn id="33" xr3:uid="{2DC8220F-F64C-4097-B274-6D9CAB30BC01}" name="Primary Clusters WS2_08-26" dataDxfId="79"/>
    <tableColumn id="3" xr3:uid="{F5B25B8E-0825-4CA4-9BAB-903C97F607AB}" name="Short title" dataDxfId="78"/>
    <tableColumn id="4" xr3:uid="{9A19A8C9-924F-47C8-90F7-55E92D48348B}" name="Problem statement" dataDxfId="77"/>
    <tableColumn id="5" xr3:uid="{3F264CA1-31C4-4910-861C-9E8F182CA475}" name="Example or observation"/>
    <tableColumn id="6" xr3:uid="{61354428-5BF5-4685-88E9-BC5B991F3E7E}" name="Value lens(es)" dataDxfId="76"/>
    <tableColumn id="27" xr3:uid="{D4CB7B2A-0C2C-4D1A-B839-E10C0184B0E7}" name="Cross_Unit_ProblemRelevance_Count" dataDxfId="75"/>
    <tableColumn id="16" xr3:uid="{05A3FA67-6499-41E2-8691-2CEA2298F0CC}" name="Pri signal, by voting (WS1, 8-26)" dataDxfId="74"/>
    <tableColumn id="30" xr3:uid="{CC2342BF-9E65-4EA4-83E5-E757167257AD}" name="Sum of unit problem relevance + vote (WS1, 8-26)" dataDxfId="73">
      <calculatedColumnFormula>Problems[[#This Row],[Cross_Unit_ProblemRelevance_Count]]+Problems[[#This Row],[Pri signal, by voting (WS1, 8-26)]]</calculatedColumnFormula>
    </tableColumn>
    <tableColumn id="32" xr3:uid="{5EFE3571-D478-48BC-A84C-38876A073006}" name="Sum of unit relevance for the relevant local practices 06-26" dataDxfId="72"/>
    <tableColumn id="31" xr3:uid="{66305B07-9A0F-4F8B-B824-5F6993258EBC}" name="Relevant ongoing initiatives 08-26_x000a_(AI inferred and QAd, 8-26)" dataDxfId="71"/>
    <tableColumn id="28" xr3:uid="{C34D6716-1D0F-4806-9741-476F78BDD1F7}" name="Relevant existing local standards and practices Q2-26_x000a_(AI inferred and QAd, 8-26)" dataDxfId="70"/>
    <tableColumn id="7" xr3:uid="{8957E5C0-68C8-4601-9530-D874EE57028B}" name="Type"/>
    <tableColumn id="8" xr3:uid="{3541FE13-CFF4-4728-9822-D925994FA1BF}" name="Top priority in"/>
    <tableColumn id="9" xr3:uid="{1BC4BA3A-F6FC-4184-B3DD-3D022B8A0FAE}" name="NO"/>
    <tableColumn id="10" xr3:uid="{46FEB51C-60DA-4B05-B3FE-7D76E9135CCB}" name="SE"/>
    <tableColumn id="11" xr3:uid="{2CAF2182-5D89-4BB0-A867-D0B4F67BE559}" name="FI"/>
    <tableColumn id="12" xr3:uid="{AB03E7EF-D523-4FDC-8E0C-2E0A77C71DF9}" name="DK"/>
    <tableColumn id="13" xr3:uid="{0F068F8F-9740-4D52-8C17-A7AD9AAD5E77}" name="MP"/>
    <tableColumn id="14" xr3:uid="{14691013-769B-4072-ACF2-A6E884AE73DA}" name="REC"/>
    <tableColumn id="15" xr3:uid="{A3021F5C-8501-413E-86BA-E6D45248B24E}" name="UK&amp;I"/>
    <tableColumn id="29" xr3:uid="{F36F2EBE-094C-41F0-B100-5458232EA513}" name="RelevantLocalPractices_Rationale_x000a_(AI inferred and QAd, 8-26)" dataDxfId="69"/>
    <tableColumn id="17" xr3:uid="{6ABE037B-286B-43C2-AD43-9FFBEB840225}" name="Source File"/>
    <tableColumn id="18" xr3:uid="{B9E91FA5-B207-4700-B632-26EEC529C2BB}" name="Source Sheet"/>
    <tableColumn id="19" xr3:uid="{9112EC96-41BA-4A89-A773-E942D0636F09}" name="Record Origin"/>
    <tableColumn id="20" xr3:uid="{7CC11837-D7BE-4297-80C0-9E812A7AD000}" name="AIConfidence"/>
    <tableColumn id="21" xr3:uid="{F5FBC193-2159-4054-B748-F856EB1CC417}" name="ConfidenceReason"/>
    <tableColumn id="22" xr3:uid="{8DF7BFAE-4BBA-46A8-B027-FABDA94416DB}" name="ReviewStatus"/>
    <tableColumn id="23" xr3:uid="{7B5E5C63-512A-469C-A021-8AD4D416555F}" name="Reviewer"/>
    <tableColumn id="24" xr3:uid="{626DB234-24FB-4BE3-880B-C0CBE50195FC}" name="ReviewerComments"/>
    <tableColumn id="25" xr3:uid="{DAEBB78D-9095-4C5C-AC09-1D298BCBB5B6}" name="ReviewDecisionID"/>
    <tableColumn id="26" xr3:uid="{17AA698F-37E8-467C-803D-448F851398AC}" name="Source 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C34136-C2D1-44C7-AC9A-EB75B676D338}" name="Practices" displayName="Practices" ref="A5:AW38" totalsRowShown="0" headerRowDxfId="68">
  <autoFilter ref="A5:AW38" xr:uid="{20C34136-C2D1-44C7-AC9A-EB75B676D338}"/>
  <tableColumns count="49">
    <tableColumn id="1" xr3:uid="{FA1F2497-C43C-4C76-A3E6-F25850C102D6}" name="Practice ID"/>
    <tableColumn id="2" xr3:uid="{39DCA236-DD95-4C71-BA6D-E0F3C7F3A942}" name="Derived problem ID"/>
    <tableColumn id="3" xr3:uid="{2F668802-A27B-4886-B7E5-94B6A8E5B5EA}" name="Category"/>
    <tableColumn id="4" xr3:uid="{E45E1ACA-524F-48FD-8DA5-75A148EBBC1E}" name="Contact"/>
    <tableColumn id="5" xr3:uid="{47E87C7E-2F53-44CC-A9C0-F178458D9174}" name="Practice title"/>
    <tableColumn id="6" xr3:uid="{3BC43DA9-2B23-4AA8-ABF7-7307A2C5765D}" name="Unit using solution"/>
    <tableColumn id="7" xr3:uid="{37956D7E-0024-4630-AE8F-01791734D2A5}" name="Loc. used"/>
    <tableColumn id="8" xr3:uid="{E56F009E-B9C7-4E21-93A7-D4D811B7E4F7}" name="Current Footprint"/>
    <tableColumn id="9" xr3:uid="{9853BD7F-12F9-474D-9004-1CFDA6D7FF8E}" name="Adoption (inferred)"/>
    <tableColumn id="10" xr3:uid="{DC2394C7-FE8E-490C-BE30-6ADEA1E8715C}" name="Maturity (inferred)"/>
    <tableColumn id="11" xr3:uid="{42D63751-1C06-40EC-A72C-E3BE7187D1A3}" name="Ownership (inferred)"/>
    <tableColumn id="12" xr3:uid="{33FCBAFB-6B49-49C5-82F5-0C5F224ABBF1}" name="Cross-unit interest (validated)"/>
    <tableColumn id="13" xr3:uid="{94C41E3F-2E93-461A-922C-7135E9DEAA0F}" name="Scalability judgment (inferred)"/>
    <tableColumn id="14" xr3:uid="{7641EB3B-30D3-4077-B131-6B73D49FFACA}" name="Unit relevance of problems solved (OAG WS 30.06.2026)"/>
    <tableColumn id="15" xr3:uid="{82D1D92B-F38E-4314-A87F-5EE9D79E6373}" name="In Top 5-10 of problems to solve for untis (OAG WS30.06.26)"/>
    <tableColumn id="49" xr3:uid="{3412D660-5576-4F08-A33D-B3688496121E}" name="Unit_Relevance_Count_WS_06_2026" dataDxfId="67"/>
    <tableColumn id="16" xr3:uid="{4861EBD1-936D-4A52-B18B-3775175D8079}" name="Problem category(ies)"/>
    <tableColumn id="17" xr3:uid="{3F907117-A377-4D3D-8C03-9C5DA84F72A5}" name="Problem statement"/>
    <tableColumn id="18" xr3:uid="{8FDB2418-51C1-4B87-8A18-326CB194239B}" name="How the existing solution solves problem(s)"/>
    <tableColumn id="19" xr3:uid="{2D8F8184-D1EF-4229-956E-3CD3307020E4}" name="Value it appears to give"/>
    <tableColumn id="20" xr3:uid="{62658C03-67E2-4A57-B732-650B7ADED124}" name="Value it appears to give - Any other comments"/>
    <tableColumn id="21" xr3:uid="{91267578-9631-4DA0-A278-7E785176C91D}" name="Adoption across relevant projects"/>
    <tableColumn id="22" xr3:uid="{80C054EB-325C-4D74-AB75-BFFF5D41C5CC}" name="Adoption - Any other comments"/>
    <tableColumn id="23" xr3:uid="{861E1584-B4CC-4F35-B123-59882AF2785E}" name="Maturity Status"/>
    <tableColumn id="24" xr3:uid="{81A75649-118D-4186-849B-423DAAA35AED}" name="Maturity - Any other comments"/>
    <tableColumn id="25" xr3:uid="{DCCED138-5486-4C8A-970E-6445150A2243}" name="Ownership2"/>
    <tableColumn id="26" xr3:uid="{493ACA4D-D516-4F98-B8FD-DB3F58218C97}" name="Ownership - Any other comments"/>
    <tableColumn id="27" xr3:uid="{82BBEBBB-CCB3-4737-A40C-D61E340CDC0B}" name="Scaling Judgement"/>
    <tableColumn id="28" xr3:uid="{1B4C1AF8-5C27-4CBE-BDED-4BC6FF148382}" name="Scaling Judgement in 04-26 workshop - Any other comments"/>
    <tableColumn id="29" xr3:uid="{81B12037-177D-4A46-8B70-7D61314DDEDE}" name="What does it consist of?"/>
    <tableColumn id="30" xr3:uid="{82C1EFAE-DA6E-4147-8458-A23EAB8FCFCA}" name="What does it consist of? - Key tools involved"/>
    <tableColumn id="31" xr3:uid="{86269EC1-DC48-426B-A557-101B2F937FB8}" name="What does it consist of? - Any other comments"/>
    <tableColumn id="32" xr3:uid="{F8453FFA-C5FE-43D0-8FDA-9E276D170103}" name="For which project types can it be valuable?"/>
    <tableColumn id="33" xr3:uid="{A36FC594-6A30-4B12-AC9B-CB8458CC47B8}" name="In which project types is it valuable - Any other comments"/>
    <tableColumn id="34" xr3:uid="{C2FE98C1-2662-4DF8-95BF-8D5F07A1BDFB}" name="Assumptions on scalability (based on discussions and Miro) - Comments"/>
    <tableColumn id="35" xr3:uid="{A5E42F08-10A8-4036-8340-D6EC6DBEC1FF}" name="Where it could be useful"/>
    <tableColumn id="36" xr3:uid="{65C0E01F-B4DC-47BA-83BF-C61F702CFE3E}" name="Barriers/concerns"/>
    <tableColumn id="37" xr3:uid="{0569304C-1394-48D1-9C57-DF1DE505D498}" name="Barriers/concerns - Any other comments"/>
    <tableColumn id="38" xr3:uid="{FD0D2B52-FE96-46EB-A56F-2DF29D8C3FE3}" name="Column1"/>
    <tableColumn id="39" xr3:uid="{6D605AE5-0B01-4B25-933F-B0072C314D71}" name="Source File"/>
    <tableColumn id="40" xr3:uid="{FC2DB6E1-CC1D-4D33-8637-84665D319D21}" name="Source Sheet"/>
    <tableColumn id="41" xr3:uid="{4C8FE864-112B-4958-A776-6FABD779971C}" name="Record Origin"/>
    <tableColumn id="42" xr3:uid="{3AB755E9-820D-4A73-BE71-C2836686A104}" name="AIConfidence"/>
    <tableColumn id="43" xr3:uid="{ADF0E73B-A5A9-4AA2-B772-6D3FB0E86167}" name="ConfidenceReason"/>
    <tableColumn id="44" xr3:uid="{381853A3-B5EA-4A37-BC0B-7454EA96B4D6}" name="ReviewStatus"/>
    <tableColumn id="45" xr3:uid="{3CD0F715-D8DD-4CDB-B60D-1A559D3A8535}" name="Reviewer"/>
    <tableColumn id="46" xr3:uid="{C0DE3C72-0C98-479B-A9D6-6900549BC918}" name="ReviewerComments"/>
    <tableColumn id="47" xr3:uid="{F93DA24F-08B9-4689-85CC-017ADC3A44B3}" name="ReviewDecisionID"/>
    <tableColumn id="48" xr3:uid="{B8541D32-E46C-4973-82BC-1035D2A38305}" name="Source Typ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FE41D17-9FCE-4447-9550-6C768375D956}" name="Initiatives" displayName="Initiatives" ref="A5:Q14" totalsRowShown="0" headerRowDxfId="66">
  <autoFilter ref="A5:Q14" xr:uid="{BFE41D17-9FCE-4447-9550-6C768375D956}"/>
  <tableColumns count="17">
    <tableColumn id="1" xr3:uid="{F3FB44AB-1568-44B4-A69F-DC753A30CF21}" name="InitiativeID"/>
    <tableColumn id="2" xr3:uid="{4007E28A-82A2-4F1C-8AB2-92001993F32C}" name="InitiativeName" dataDxfId="65"/>
    <tableColumn id="3" xr3:uid="{6AD925A8-9D6A-43ED-AB58-7220E902CB94}" name="InitiativeDescription" dataDxfId="64"/>
    <tableColumn id="17" xr3:uid="{B6086320-A0D5-40B6-8FD2-B28EC88A2D16}" name="Status" dataDxfId="63"/>
    <tableColumn id="18" xr3:uid="{B5637585-2520-4FE1-A607-2670E67F78C0}" name="Next steps" dataDxfId="62"/>
    <tableColumn id="4" xr3:uid="{66F9FAC8-6F59-4BB9-BED0-E366CAEDACE7}" name="OwnerAsEvidenced"/>
    <tableColumn id="5" xr3:uid="{DA5667A2-6DC7-4FC8-9930-AA9785B57587}" name="SponsoringUnitAsEvidenced"/>
    <tableColumn id="6" xr3:uid="{58E1F4FD-1042-4614-B286-1B317284C3AC}" name="StatusAsEvidenced" dataDxfId="61"/>
    <tableColumn id="15" xr3:uid="{DF5BC48E-02D7-4722-B0A0-D73C0B240176}" name="NormalizedStatus"/>
    <tableColumn id="7" xr3:uid="{62876CF0-A8B1-4FF2-91FA-56C933EEA54A}" name="EvidenceSummary" dataDxfId="60"/>
    <tableColumn id="8" xr3:uid="{A65D789C-04E8-401D-93EE-60CF016C1428}" name="EvidenceDate" dataDxfId="59"/>
    <tableColumn id="9" xr3:uid="{81B3E054-B251-4081-A566-6265BDDFC6B0}" name="VerificationNeeded"/>
    <tableColumn id="10" xr3:uid="{6459CFA6-12FF-494A-A0A0-28B3BD7F2D10}" name="SourceReference" dataDxfId="58"/>
    <tableColumn id="11" xr3:uid="{CEA98099-48D9-499A-B203-EC748E11EBF3}" name="ReviewStatus"/>
    <tableColumn id="12" xr3:uid="{431CE985-3170-4650-9EE4-A3A953B89085}" name="Reviewer"/>
    <tableColumn id="13" xr3:uid="{4873929B-2A2F-43BE-A633-FAE13F0453BF}" name="ReviewerComments"/>
    <tableColumn id="14" xr3:uid="{AD790E6B-0015-4FEA-9ED8-94B4B5650078}" name="ReviewDecision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0F684B3-9D37-4501-A6F6-4F7FEE4FD442}" name="TransportUPECoverage" displayName="TransportUPECoverage" ref="A1:H28" totalsRowShown="0">
  <tableColumns count="8">
    <tableColumn id="9" xr3:uid="{FF20E702-9AC4-4E67-932E-9701CDE60F24}" name="Transport Requirement ID" dataDxfId="0" dataCellStyle="Normal 2"/>
    <tableColumn id="2" xr3:uid="{FF7B94CB-3250-4A07-8493-C7573CF44376}" name="Transport Cluster"/>
    <tableColumn id="3" xr3:uid="{DB503BC3-4CF1-424B-BBB3-40699CAF273C}" name="Transport Requirement / Pain Point"/>
    <tableColumn id="4" xr3:uid="{AFBC11AC-76B7-4FC2-8434-E777C946819B}" name="Source Reference"/>
    <tableColumn id="5" xr3:uid="{8FA0B6FE-C356-46E8-94F9-0D2BC0B1C4E8}" name="UPE Coverage"/>
    <tableColumn id="6" xr3:uid="{AE3D1E2C-F349-4F59-A552-247AEDB06350}" name="UPE Module / Section"/>
    <tableColumn id="7" xr3:uid="{DADB7F07-89CB-4C21-98E0-30ECDC437937}" name="How UPE Covers It"/>
    <tableColumn id="8" xr3:uid="{88A07A04-DD23-4459-85C7-2805578B8C46}" name="Not Covered Out-of-the-Box / Customisation Neede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BA84112-F906-4E64-9DB2-0553C830B653}" name="CandidateProblems" displayName="CandidateProblems" ref="A5:P66" totalsRowShown="0" headerRowDxfId="57">
  <autoFilter ref="A5:P66" xr:uid="{EBA84112-F906-4E64-9DB2-0553C830B653}"/>
  <tableColumns count="16">
    <tableColumn id="1" xr3:uid="{70485356-ED94-47AC-8AE6-53F8D6E74B04}" name="CandidateProblemID"/>
    <tableColumn id="2" xr3:uid="{6B6D956C-458F-4B80-B000-097DCBCC01EE}" name="SourcePracticeID"/>
    <tableColumn id="3" xr3:uid="{F462F36B-477E-4500-AED6-8FA4F1748751}" name="ESPDerivedProblemReference"/>
    <tableColumn id="4" xr3:uid="{E3B7FEF4-FE0D-4075-A3F2-779B94C262ED}" name="CandidateShortTitle"/>
    <tableColumn id="5" xr3:uid="{AC62A933-F584-49DC-8EBC-A0205D49C388}" name="CandidateProblemStatement"/>
    <tableColumn id="6" xr3:uid="{31869545-CE5C-476C-B4AB-D7110F09D0D9}" name="EvidenceFieldsUsed"/>
    <tableColumn id="7" xr3:uid="{8D079C15-1109-4F47-AD61-E6B30AA32C68}" name="EvidenceExtract"/>
    <tableColumn id="8" xr3:uid="{93EF36F0-82BD-42B3-BDB8-945AB77B1A39}" name="ProposedValueLenses"/>
    <tableColumn id="9" xr3:uid="{C8CECF29-F4F4-4692-BDFB-EB157314E24C}" name="ProposedType"/>
    <tableColumn id="10" xr3:uid="{E094F203-D523-49DD-A143-49963C434781}" name="CandidateAssessment"/>
    <tableColumn id="11" xr3:uid="{EAB91ED0-D0B5-4009-A8D8-00E43E90E0D5}" name="AIConfidence"/>
    <tableColumn id="12" xr3:uid="{7C2F1567-C358-40D7-8565-40C1EEB2938E}" name="ConfidenceReason"/>
    <tableColumn id="13" xr3:uid="{4F9C95A6-DEF9-40C4-82FF-43795C8417D5}" name="ReviewStatus"/>
    <tableColumn id="14" xr3:uid="{5448BCA2-7576-4360-8C7D-42387B6AF227}" name="Reviewer"/>
    <tableColumn id="15" xr3:uid="{877C61C7-8EDE-42EC-9905-7CFE460E8E35}" name="ReviewerComments"/>
    <tableColumn id="16" xr3:uid="{EAF97B15-528A-4452-8FCF-CBB52D4FE6D5}" name="ReviewDecisionI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5A4BFDB-77F1-4EA5-AFBE-D9AA7663CC77}" name="ProblemMappings" displayName="ProblemMappings" ref="A5:L6" totalsRowShown="0" headerRowDxfId="56">
  <autoFilter ref="A5:L6" xr:uid="{05A4BFDB-77F1-4EA5-AFBE-D9AA7663CC77}"/>
  <tableColumns count="12">
    <tableColumn id="1" xr3:uid="{6319C2BF-032F-4100-827D-09427FC265A8}" name="ProblemMappingID"/>
    <tableColumn id="2" xr3:uid="{CF8E3E27-6BD9-4294-ABAD-028EB116CFF4}" name="CandidateProblemID"/>
    <tableColumn id="3" xr3:uid="{88C70F84-E71C-492C-B67B-8FE3BF503E00}" name="ProblemID"/>
    <tableColumn id="4" xr3:uid="{326E2F70-F9E9-4230-AEF0-D9CEEAE25B2B}" name="Relationship"/>
    <tableColumn id="5" xr3:uid="{A1F8B4FD-5B9B-4A31-B236-1AFF4297CD9A}" name="MappingRationale"/>
    <tableColumn id="6" xr3:uid="{A59E29ED-3602-447B-8117-9046C8057C60}" name="Evidence"/>
    <tableColumn id="7" xr3:uid="{FAD92407-1D31-4DCC-A556-9F84831960DA}" name="AIConfidence"/>
    <tableColumn id="8" xr3:uid="{F5A955FC-913B-43AB-BEF4-ED64119A6A2B}" name="ConfidenceReason"/>
    <tableColumn id="9" xr3:uid="{F7A6E331-C2FF-4AC1-BFE2-2FBC37776FC0}" name="ReviewStatus"/>
    <tableColumn id="10" xr3:uid="{1AFA4773-3801-4C38-B1F4-FECA5CDE2D4F}" name="Reviewer"/>
    <tableColumn id="11" xr3:uid="{9A16EC8E-46C7-4E6A-821B-726CEA8B6357}" name="ReviewerComments"/>
    <tableColumn id="12" xr3:uid="{41917D00-41BD-4F8A-BDA2-105DD049798D}" name="ReviewDecisionID"/>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1F537F2-7167-4AE6-AC7A-EAC934A06851}" name="PracticeMappings" displayName="PracticeMappings" ref="A5:L66" totalsRowShown="0" headerRowDxfId="55">
  <autoFilter ref="A5:L66" xr:uid="{91F537F2-7167-4AE6-AC7A-EAC934A06851}"/>
  <tableColumns count="12">
    <tableColumn id="1" xr3:uid="{9A9CF4AC-E9AC-4E23-BBAB-89887CE9B348}" name="PracticeMappingID"/>
    <tableColumn id="2" xr3:uid="{11F2154B-F769-4D5C-AB36-0B352CD22778}" name="PracticeID"/>
    <tableColumn id="3" xr3:uid="{8E2405E7-8962-4E63-90B2-4D9BE86BAA55}" name="ProblemID"/>
    <tableColumn id="4" xr3:uid="{3998ECB2-D91C-473C-8834-CF9DE5C22280}" name="Relationship"/>
    <tableColumn id="5" xr3:uid="{54CE2086-0FE9-4D46-B141-D4DB28E6A2F9}" name="MappingRationale"/>
    <tableColumn id="6" xr3:uid="{BDDDAA22-8004-4836-9BE0-F784A6ADACF5}" name="Evidence"/>
    <tableColumn id="7" xr3:uid="{4A2A916B-D17F-4011-9560-6AACD56AD9BA}" name="AIConfidence"/>
    <tableColumn id="8" xr3:uid="{17E8CCE4-D11C-4669-9586-5A0DBB380736}" name="ConfidenceReason"/>
    <tableColumn id="9" xr3:uid="{56C2BA8D-6222-49F8-A9B3-2AC82982E1DE}" name="ReviewStatus"/>
    <tableColumn id="10" xr3:uid="{D378825A-EC33-41E3-B28E-94BE3FFE2741}" name="Reviewer"/>
    <tableColumn id="11" xr3:uid="{E2C79EB6-8C1C-41B8-891E-06985BFF3C38}" name="ReviewerComments"/>
    <tableColumn id="12" xr3:uid="{36BBC148-2906-4811-91EE-4E6CB9553B95}" name="ReviewDecisionID"/>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21B309D-3C99-4CFB-94CD-04962929B6F7}" name="InitiativeMappings" displayName="InitiativeMappings" ref="A5:M67" totalsRowShown="0" headerRowDxfId="54">
  <autoFilter ref="A5:M67" xr:uid="{B21B309D-3C99-4CFB-94CD-04962929B6F7}"/>
  <tableColumns count="13">
    <tableColumn id="1" xr3:uid="{83801D86-82EB-4CE3-A154-729215382FDB}" name="InitiativeMappingID"/>
    <tableColumn id="2" xr3:uid="{D2ECA2C7-258A-4BB6-AFE9-BFE391C5E598}" name="InitiativeID"/>
    <tableColumn id="3" xr3:uid="{6F1AE74B-77AB-41A6-A9F0-B9AADD9BE400}" name="ProblemID"/>
    <tableColumn id="4" xr3:uid="{F2CA873B-02C4-408E-AF71-F48D16CAC9AE}" name="Relationship"/>
    <tableColumn id="5" xr3:uid="{CAEBCD2C-EA0F-4C6A-8930-8CA68F18F2E0}" name="MappingRationale" dataDxfId="53"/>
    <tableColumn id="6" xr3:uid="{BAAF3B4C-641A-46D1-B62C-693159A601AB}" name="Evidence" dataDxfId="52"/>
    <tableColumn id="7" xr3:uid="{D779E9ED-4463-4B7A-BD16-682AE99AA128}" name="SourceReference"/>
    <tableColumn id="8" xr3:uid="{6E14E0BA-87B2-4146-861D-BCC5EDDA63FB}" name="AIConfidence"/>
    <tableColumn id="9" xr3:uid="{0030FB0D-1621-40C1-BDFE-F81EE3F3FCA0}" name="ConfidenceReason" dataDxfId="51"/>
    <tableColumn id="10" xr3:uid="{DB28EC94-7B88-45B9-92E0-8510E44C08A9}" name="ReviewStatus"/>
    <tableColumn id="11" xr3:uid="{C2744076-A691-4533-BC40-BDBF3396D34E}" name="Reviewer"/>
    <tableColumn id="12" xr3:uid="{D74D0900-0740-4133-BE29-D7657AA606C9}" name="ReviewerComments"/>
    <tableColumn id="13" xr3:uid="{EC2128BB-794D-45E1-AB88-CAB7993597D4}" name="ReviewDecisionID"/>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E499754-170F-4D65-9519-997B231C9AC5}" name="Clusters" displayName="Clusters" ref="A5:K6" totalsRowShown="0" headerRowDxfId="50">
  <autoFilter ref="A5:K6" xr:uid="{CE499754-170F-4D65-9519-997B231C9AC5}"/>
  <tableColumns count="11">
    <tableColumn id="1" xr3:uid="{F06FF414-316C-4988-9970-708F3E987E45}" name="ClusterID"/>
    <tableColumn id="2" xr3:uid="{6FD8D1C0-34B8-43E6-8B1D-1E31E92367A4}" name="ClusterName"/>
    <tableColumn id="3" xr3:uid="{2DC2E64F-8C7C-4709-B6D4-EB27CED59E3D}" name="ClusterDescription"/>
    <tableColumn id="4" xr3:uid="{D775C4AA-D3A2-4E86-AF8D-D13532CC90AC}" name="InclusionRule"/>
    <tableColumn id="5" xr3:uid="{866BFCF2-3F6A-4E5A-BDD4-8896D1C2C6C2}" name="BoundaryRule"/>
    <tableColumn id="6" xr3:uid="{E2C59F63-0041-4A2C-A7D0-13AA64DFC9C1}" name="ClusterModel"/>
    <tableColumn id="7" xr3:uid="{8F1FD765-BB71-4CEF-BC69-2FFC868B9D8B}" name="ClusterStatus"/>
    <tableColumn id="8" xr3:uid="{515B3AE6-891B-4A56-AB2F-9D0E6683927A}" name="ReviewStatus"/>
    <tableColumn id="9" xr3:uid="{0F56F86E-8871-42F9-8EBC-A47C3CFA7216}" name="Reviewer"/>
    <tableColumn id="10" xr3:uid="{78E9DFCB-C36B-4F78-8E44-EA29EF71B6C4}" name="ReviewerComments"/>
    <tableColumn id="11" xr3:uid="{7B8AF2A1-1D4E-4CCC-AFD4-2F69F58143CB}" name="ReviewDecisionID"/>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B610392-2272-4691-A73A-EFA1AA979B70}" name="ClusterAssignments" displayName="ClusterAssignments" ref="A5:L6" insertRow="1" totalsRowShown="0" headerRowDxfId="49">
  <autoFilter ref="A5:L6" xr:uid="{6B610392-2272-4691-A73A-EFA1AA979B70}"/>
  <tableColumns count="12">
    <tableColumn id="1" xr3:uid="{45BEA63C-C7A4-4A6B-8897-20DA344E870A}" name="ClusterAssignmentID"/>
    <tableColumn id="2" xr3:uid="{0D3EAF2A-E31B-45DE-A129-4DDE3DA62600}" name="EvidenceRecordType"/>
    <tableColumn id="3" xr3:uid="{07073829-BA3C-4B61-AF17-DFFD811FC080}" name="EvidenceRecordID"/>
    <tableColumn id="4" xr3:uid="{79C113E1-2040-4F83-94FF-C11E4C8A782A}" name="ClusterID"/>
    <tableColumn id="5" xr3:uid="{B9776193-F94F-42B9-8174-2D5BCD4444D2}" name="AssignmentType"/>
    <tableColumn id="6" xr3:uid="{DD77941C-4202-4C39-AC1D-9C30744BBF4C}" name="AssignmentRationale" dataDxfId="48"/>
    <tableColumn id="7" xr3:uid="{B16E9640-4B46-497B-8612-C6C45ECB97F6}" name="AIConfidence"/>
    <tableColumn id="8" xr3:uid="{DAD2BAC7-03DD-4493-A3A4-0403A6E6521D}" name="ConfidenceReason" dataDxfId="47"/>
    <tableColumn id="9" xr3:uid="{0E9CACAE-C402-4EC2-AADA-2DCB36E50F64}" name="ReviewStatus"/>
    <tableColumn id="10" xr3:uid="{36531E7C-411F-41F3-BC64-8B322C423063}" name="Reviewer"/>
    <tableColumn id="11" xr3:uid="{6F480DCF-7040-4EAC-9F0D-45CF7203528F}" name="ReviewerComments" dataDxfId="46"/>
    <tableColumn id="12" xr3:uid="{3A7636BA-4512-44DE-87A8-18480F9F4FAF}" name="ReviewDecisionID"/>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13271C-EBBD-443A-87B0-C9ACB6E157FB}" name="Exceptions" displayName="Exceptions" ref="A5:K6" totalsRowShown="0" headerRowDxfId="45">
  <autoFilter ref="A5:K6" xr:uid="{6D13271C-EBBD-443A-87B0-C9ACB6E157FB}"/>
  <tableColumns count="11">
    <tableColumn id="1" xr3:uid="{9C46CD6F-40C8-48A0-8B46-B4EEFB683391}" name="ExceptionID"/>
    <tableColumn id="2" xr3:uid="{34C20575-F06F-44E0-9518-1D2CF6468716}" name="EntityType"/>
    <tableColumn id="3" xr3:uid="{5C303337-D817-4A7D-8621-3942C0A31BA9}" name="EntityID"/>
    <tableColumn id="4" xr3:uid="{2C947C84-F57F-472A-8826-763ADFCEA576}" name="ExceptionType"/>
    <tableColumn id="5" xr3:uid="{60DD412F-B226-46C9-8807-B0B84BE00DC7}" name="Description"/>
    <tableColumn id="6" xr3:uid="{0D2BBF77-5C91-4E0F-9888-1118CB8BC89D}" name="Severity"/>
    <tableColumn id="7" xr3:uid="{64E216EF-332F-4069-ABC3-8931D5D26999}" name="ProposedResolution"/>
    <tableColumn id="8" xr3:uid="{775249A5-7BE0-4235-ADF3-37F24CE1179C}" name="ResolutionStatus"/>
    <tableColumn id="9" xr3:uid="{4E1C6A70-993A-4320-A817-0D2ACDA77F39}" name="Owner"/>
    <tableColumn id="10" xr3:uid="{ED8E905A-9B62-4773-A826-52D79FB2DDB4}" name="ReviewerComments"/>
    <tableColumn id="11" xr3:uid="{8E72BCAD-6DBA-4F36-8490-CA7B7305D864}" name="ReviewDecisionID"/>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D8228D1-1453-425A-8956-DA4DA108C509}" name="ReviewLog" displayName="ReviewLog" ref="A5:H13" totalsRowShown="0" headerRowDxfId="44">
  <autoFilter ref="A5:H13" xr:uid="{3D8228D1-1453-425A-8956-DA4DA108C509}"/>
  <tableColumns count="8">
    <tableColumn id="1" xr3:uid="{6FA37478-3A64-40FA-AC2E-05AF9E28793A}" name="ReviewDecisionID"/>
    <tableColumn id="2" xr3:uid="{2CC04AB9-357B-406B-B744-143B1309B382}" name="EntityType"/>
    <tableColumn id="3" xr3:uid="{9630A019-E674-409D-9651-68DE3F09A6E4}" name="EntityID"/>
    <tableColumn id="4" xr3:uid="{8A751FFC-51BF-4B16-9464-58AB8902D8B3}" name="Decision"/>
    <tableColumn id="5" xr3:uid="{836E4C8E-9A8C-4535-8A8D-D4830C644A97}" name="Reviewer"/>
    <tableColumn id="6" xr3:uid="{42A4B703-E6DE-441D-AC40-9BD78E4845BF}" name="DecisionDate" dataDxfId="43"/>
    <tableColumn id="7" xr3:uid="{2AF47066-FBCC-4791-BABF-F1ACB30247AA}" name="DecisionRationale" dataDxfId="42"/>
    <tableColumn id="8" xr3:uid="{4742342D-3ECA-44B5-84D5-D10678E9951F}" name="FollowUpAction" dataDxfId="41"/>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6C6CE0-5E04-48FE-827B-AE0C1EB99128}" name="ControlledValues" displayName="ControlledValues" ref="A4:P14" totalsRowShown="0" headerRowDxfId="40">
  <autoFilter ref="A4:P14" xr:uid="{A16C6CE0-5E04-48FE-827B-AE0C1EB99128}"/>
  <tableColumns count="16">
    <tableColumn id="1" xr3:uid="{3D422136-0836-400A-980B-B39599B96344}" name="AIConfidence"/>
    <tableColumn id="2" xr3:uid="{AD595C05-7473-43E6-AB0A-E2223DA77DA4}" name="ReviewStatus"/>
    <tableColumn id="3" xr3:uid="{470DC3E8-E0A8-4BE1-B092-F8977AA72AAB}" name="ProblemMappingRelationship"/>
    <tableColumn id="4" xr3:uid="{2D3D393C-6543-48A1-9107-4BB9E37D2893}" name="PracticeMappingRelationship"/>
    <tableColumn id="5" xr3:uid="{357B98F8-1EF4-4FD2-9772-2FFE4D2A6A5C}" name="InitiativeMappingRelationship"/>
    <tableColumn id="6" xr3:uid="{42FF4474-8922-4D37-AD8B-BE9C7254A6BC}" name="CandidateAssessment"/>
    <tableColumn id="7" xr3:uid="{51738995-FCDC-46AB-B267-AEC497D5F089}" name="YesNo"/>
    <tableColumn id="8" xr3:uid="{D979B025-7848-4433-9BE4-D146AA63CBD8}" name="InitiativeStatus"/>
    <tableColumn id="9" xr3:uid="{9A12EBD3-1F7A-4B0E-9679-714A6229A92A}" name="ClusterStatus"/>
    <tableColumn id="10" xr3:uid="{72AB9C5F-6D35-4EB2-95BC-57E9C36BCFAA}" name="ExceptionSeverity"/>
    <tableColumn id="11" xr3:uid="{147224EE-46F8-4072-9622-7D42EDDB2E30}" name="ResolutionStatus"/>
    <tableColumn id="12" xr3:uid="{BAFF9932-7FCA-4A3F-95C1-7F8207192F04}" name="RecordOrigin"/>
    <tableColumn id="13" xr3:uid="{E254905C-D743-4CB5-9EB7-E7A4325439BD}" name="EntityType"/>
    <tableColumn id="14" xr3:uid="{7EDFC5E6-3D15-4F29-A5C0-77B2D05E3231}" name="ReviewDecision"/>
    <tableColumn id="15" xr3:uid="{AEE02558-3285-448C-B31A-5C88D39B6215}" name="EvidenceRecordType"/>
    <tableColumn id="16" xr3:uid="{5C0BA206-2A7E-49DE-B716-9BF3A01545D2}" name="ClusterAssignment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A8CDE6-C8F4-4010-82F1-693944A26FC7}" name="TMPPracticeProblemProposals" displayName="TMPPracticeProblemProposals" ref="A5:R66" totalsRowShown="0" headerRowDxfId="39" dataDxfId="38">
  <autoFilter ref="A5:R66" xr:uid="{47A8CDE6-C8F4-4010-82F1-693944A26FC7}"/>
  <tableColumns count="18">
    <tableColumn id="1" xr3:uid="{782A563A-9736-4F59-A1CC-CF81CB55B251}" name="ProposalRowID" dataDxfId="37"/>
    <tableColumn id="2" xr3:uid="{FAEF0A43-4B7B-4FFD-90B3-ED96EB77DAA5}" name="SourcePracticeID" dataDxfId="36"/>
    <tableColumn id="3" xr3:uid="{413A1418-4092-4620-A663-65D25CFC9DBD}" name="ESPDerivedProblemReference" dataDxfId="35"/>
    <tableColumn id="4" xr3:uid="{2493AE40-AA0B-483C-92A6-54EEAB9D62A5}" name="CandidateShortTitle" dataDxfId="34"/>
    <tableColumn id="5" xr3:uid="{0E274C71-59A1-4E51-A3F7-2E7AD2BED835}" name="CandidateProblemStatement" dataDxfId="33"/>
    <tableColumn id="6" xr3:uid="{1DB60494-2EA6-4360-8424-2A26965D1999}" name="RelationshipToPractice" dataDxfId="32"/>
    <tableColumn id="7" xr3:uid="{9E98D9D5-033B-493B-AC65-CC1D05691DCE}" name="EvidenceFieldsUsed" dataDxfId="31"/>
    <tableColumn id="8" xr3:uid="{F34CAB40-3408-4400-BECE-4E28127C0EE4}" name="EvidenceExtract" dataDxfId="30"/>
    <tableColumn id="9" xr3:uid="{2B30F8B4-06CF-4E4B-B18E-41274DA797B3}" name="ProposedValueLenses" dataDxfId="29"/>
    <tableColumn id="10" xr3:uid="{31AB864E-C3EE-4277-B1D2-6A279AF4DD12}" name="ProposedType" dataDxfId="28"/>
    <tableColumn id="11" xr3:uid="{C912F083-B4CA-4679-B22A-91F6D21C6270}" name="CandidateAssessment" dataDxfId="27"/>
    <tableColumn id="12" xr3:uid="{431CBAC8-327B-40F1-B080-CD777B88A2A7}" name="AIConfidence" dataDxfId="26"/>
    <tableColumn id="13" xr3:uid="{0BF2CF0E-7F58-4293-8B1F-DF6FC692853F}" name="ConfidenceReason" dataDxfId="25"/>
    <tableColumn id="15" xr3:uid="{2CAFDAB9-9F2D-4750-8122-5F371EC5E43D}" name="HumanReviewDecision" dataDxfId="24"/>
    <tableColumn id="16" xr3:uid="{460B7EB2-A173-4264-972E-922C53C47CCC}" name="HumanReviewerComments" dataDxfId="23"/>
    <tableColumn id="17" xr3:uid="{87BEFF5C-91AB-4B35-B21F-9928842DD37E}" name="TransferStatus" dataDxfId="22"/>
    <tableColumn id="18" xr3:uid="{1AA7FF8B-E8D5-4154-9B5E-49384FAE0819}" name="TransferredCandidateProblemID" dataDxfId="21"/>
    <tableColumn id="14" xr3:uid="{7315AFEF-A302-4E25-8339-2B00227C6564}" name="ExceptionNeeded" dataDxfId="2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E10E955-7F02-46A8-B6EB-2E5FAD0ED8DF}" name="tblTMPClusterProposals16" displayName="tblTMPClusterProposals16" ref="A4:Q11" totalsRowShown="0" headerRowDxfId="19" dataDxfId="18">
  <autoFilter ref="A4:Q11" xr:uid="{618D619F-967B-4510-8CD4-535855242A76}"/>
  <sortState xmlns:xlrd2="http://schemas.microsoft.com/office/spreadsheetml/2017/richdata2" ref="A5:Q11">
    <sortCondition descending="1" ref="F5:F11"/>
  </sortState>
  <tableColumns count="17">
    <tableColumn id="1" xr3:uid="{F2B7DE41-F426-463E-867C-95B32D58559A}" name="Cluster ID" dataDxfId="17"/>
    <tableColumn id="2" xr3:uid="{D3CF9BA0-AF82-4045-8C33-65C058D8E1FA}" name="Cluster Name" dataDxfId="16"/>
    <tableColumn id="3" xr3:uid="{2EF8B145-9D23-4D76-9933-ABA92F809250}" name="Classification" dataDxfId="15"/>
    <tableColumn id="4" xr3:uid="{636027E2-7551-4CA5-8D7F-910FFB8705A8}" name="Cluster Description" dataDxfId="14"/>
    <tableColumn id="12" xr3:uid="{F092D70B-3DCF-495F-98CD-5CF1FFFA2F44}" name="Sum of cross-unit problem relevance+vote for the Primary Problem Assignments, WS1-08-26" dataDxfId="13"/>
    <tableColumn id="16" xr3:uid="{E6323904-AABE-4BE2-ACCA-955108A16B72}" name="Avg cross-unit relevance per primary problem (Col H, max 21), WS1 08-26" dataDxfId="12"/>
    <tableColumn id="20" xr3:uid="{38E4C503-6522-4BBB-AEDE-6F5B33C98BD8}" name="Number of existing local practices relevant to primary problem assignments" dataDxfId="11"/>
    <tableColumn id="15" xr3:uid="{91CC6C76-A585-4E7F-859D-C399D8478AA0}" name="Sum of cross-unit relevance for the relevant local practices, WS-06-262" dataDxfId="10"/>
    <tableColumn id="7" xr3:uid="{72D74EF8-1A2D-47DF-8A80-FD0D65205DED}" name="Primary Problem Assignments" dataDxfId="9"/>
    <tableColumn id="8" xr3:uid="{84F25DF6-F1A4-4E6F-BE53-42FD6440E1D8}" name="Secondary Problem Assignments" dataDxfId="8"/>
    <tableColumn id="9" xr3:uid="{2433CF6D-86D3-42FE-A2C6-6D4CF100F607}" name="Cross-cutting Problem Assignments" dataDxfId="7"/>
    <tableColumn id="13" xr3:uid="{7046DAF4-837D-4388-9E3C-DA1FCED7C0EC}" name="Relevant ongoing initiatives 08-26" dataDxfId="6"/>
    <tableColumn id="17" xr3:uid="{E6210682-366B-446B-922A-3C991AAB2068}" name="Relevant existing local Standards and Practices Q2-26" dataDxfId="5"/>
    <tableColumn id="10" xr3:uid="{536C76CE-1550-4EBE-B836-9AF2C05E55CB}" name="Why this is a useful or unsuitable focus area for initiative ideation" dataDxfId="4"/>
    <tableColumn id="5" xr3:uid="{C9EC0C88-6D70-45C1-B688-21644CAECF46}" name="Inclusion Rule" dataDxfId="3"/>
    <tableColumn id="6" xr3:uid="{155A7673-AFA6-4650-8411-F71998B6F856}" name="Boundary Rule" dataDxfId="2"/>
    <tableColumn id="11" xr3:uid="{9FAD033A-880F-4106-BF1B-E12A0398951C}" name="Potential overlap or boundary issues requiring human review"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workbookViewId="0">
      <selection activeCell="C22" sqref="C22"/>
    </sheetView>
  </sheetViews>
  <sheetFormatPr defaultRowHeight="14.4"/>
  <cols>
    <col min="1" max="1" width="20.44140625" bestFit="1" customWidth="1"/>
    <col min="2" max="2" width="38.109375" customWidth="1"/>
  </cols>
  <sheetData>
    <row r="1" spans="1:8" ht="30" customHeight="1">
      <c r="A1" s="46" t="s">
        <v>0</v>
      </c>
      <c r="B1" s="46"/>
      <c r="C1" s="46"/>
      <c r="D1" s="46"/>
      <c r="E1" s="46"/>
      <c r="F1" s="46"/>
      <c r="G1" s="46"/>
      <c r="H1" s="46"/>
    </row>
    <row r="2" spans="1:8">
      <c r="A2" s="47" t="s">
        <v>1</v>
      </c>
      <c r="B2" s="48"/>
      <c r="C2" s="47"/>
      <c r="D2" s="47"/>
      <c r="E2" s="47"/>
      <c r="F2" s="47"/>
      <c r="G2" s="47"/>
      <c r="H2" s="47"/>
    </row>
    <row r="3" spans="1:8">
      <c r="B3" s="2"/>
    </row>
    <row r="4" spans="1:8">
      <c r="A4" s="49" t="s">
        <v>2</v>
      </c>
      <c r="B4" s="50"/>
      <c r="C4" s="49"/>
      <c r="D4" s="49"/>
      <c r="E4" s="49"/>
      <c r="F4" s="49"/>
      <c r="G4" s="49"/>
      <c r="H4" s="49"/>
    </row>
    <row r="5" spans="1:8" ht="43.2">
      <c r="A5" s="1" t="s">
        <v>3</v>
      </c>
      <c r="B5" s="2" t="s">
        <v>4</v>
      </c>
    </row>
    <row r="6" spans="1:8" ht="43.2">
      <c r="A6" s="1" t="s">
        <v>5</v>
      </c>
      <c r="B6" s="2" t="s">
        <v>6</v>
      </c>
    </row>
    <row r="7" spans="1:8" ht="43.2">
      <c r="A7" s="1" t="s">
        <v>7</v>
      </c>
      <c r="B7" s="2" t="s">
        <v>8</v>
      </c>
    </row>
    <row r="8" spans="1:8" ht="43.2">
      <c r="A8" s="1" t="s">
        <v>9</v>
      </c>
      <c r="B8" s="2" t="s">
        <v>10</v>
      </c>
    </row>
    <row r="9" spans="1:8" ht="43.2">
      <c r="A9" s="1" t="s">
        <v>11</v>
      </c>
      <c r="B9" s="2" t="s">
        <v>12</v>
      </c>
    </row>
    <row r="10" spans="1:8" ht="28.8">
      <c r="A10" s="1" t="s">
        <v>13</v>
      </c>
      <c r="B10" s="2" t="s">
        <v>14</v>
      </c>
    </row>
    <row r="11" spans="1:8" ht="43.2">
      <c r="A11" s="3" t="s">
        <v>15</v>
      </c>
      <c r="B11" s="4" t="s">
        <v>16</v>
      </c>
    </row>
    <row r="12" spans="1:8">
      <c r="A12" s="2"/>
      <c r="B12" s="2"/>
    </row>
    <row r="13" spans="1:8">
      <c r="A13" s="50" t="s">
        <v>17</v>
      </c>
      <c r="B13" s="50"/>
      <c r="C13" s="49"/>
      <c r="D13" s="49"/>
      <c r="E13" s="49"/>
      <c r="F13" s="49"/>
      <c r="G13" s="49"/>
      <c r="H13" s="49"/>
    </row>
    <row r="14" spans="1:8" ht="72">
      <c r="A14" s="1" t="s">
        <v>18</v>
      </c>
      <c r="B14" s="2" t="s">
        <v>19</v>
      </c>
    </row>
    <row r="15" spans="1:8" ht="43.2">
      <c r="A15" s="1" t="s">
        <v>20</v>
      </c>
      <c r="B15" s="2" t="s">
        <v>21</v>
      </c>
    </row>
    <row r="16" spans="1:8" ht="57.6">
      <c r="A16" s="1" t="s">
        <v>22</v>
      </c>
      <c r="B16" s="2" t="s">
        <v>23</v>
      </c>
    </row>
    <row r="17" spans="1:8" ht="28.8">
      <c r="A17" s="1" t="s">
        <v>24</v>
      </c>
      <c r="B17" s="2" t="s">
        <v>25</v>
      </c>
    </row>
    <row r="18" spans="1:8" ht="43.2">
      <c r="A18" s="1" t="s">
        <v>26</v>
      </c>
      <c r="B18" s="2" t="s">
        <v>27</v>
      </c>
    </row>
    <row r="19" spans="1:8" ht="43.2">
      <c r="A19" s="1" t="s">
        <v>28</v>
      </c>
      <c r="B19" s="2" t="s">
        <v>29</v>
      </c>
    </row>
    <row r="20" spans="1:8">
      <c r="A20" s="50" t="s">
        <v>30</v>
      </c>
      <c r="B20" s="50"/>
      <c r="C20" s="50"/>
      <c r="D20" s="50"/>
      <c r="E20" s="50"/>
      <c r="F20" s="50"/>
      <c r="G20" s="50"/>
      <c r="H20" s="50"/>
    </row>
    <row r="21" spans="1:8" ht="43.2">
      <c r="A21" s="1" t="s">
        <v>31</v>
      </c>
      <c r="B21" s="2" t="s">
        <v>32</v>
      </c>
      <c r="C21" t="s">
        <v>33</v>
      </c>
    </row>
    <row r="22" spans="1:8" ht="28.8">
      <c r="A22" s="1" t="s">
        <v>34</v>
      </c>
      <c r="B22" s="2" t="s">
        <v>35</v>
      </c>
    </row>
    <row r="23" spans="1:8" ht="28.8">
      <c r="A23" s="1" t="s">
        <v>36</v>
      </c>
      <c r="B23" s="2" t="s">
        <v>37</v>
      </c>
    </row>
    <row r="24" spans="1:8" ht="28.8">
      <c r="A24" s="1" t="s">
        <v>38</v>
      </c>
      <c r="B24" s="2" t="s">
        <v>39</v>
      </c>
    </row>
    <row r="25" spans="1:8" ht="28.8">
      <c r="A25" s="1" t="s">
        <v>40</v>
      </c>
      <c r="B25" s="2" t="s">
        <v>41</v>
      </c>
    </row>
    <row r="26" spans="1:8" ht="28.8">
      <c r="A26" s="1" t="s">
        <v>42</v>
      </c>
      <c r="B26" s="2" t="s">
        <v>43</v>
      </c>
    </row>
    <row r="27" spans="1:8" ht="43.2">
      <c r="A27" s="1" t="s">
        <v>44</v>
      </c>
      <c r="B27" s="2" t="s">
        <v>45</v>
      </c>
    </row>
    <row r="28" spans="1:8" ht="43.2">
      <c r="A28" s="1" t="s">
        <v>46</v>
      </c>
      <c r="B28" s="2" t="s">
        <v>47</v>
      </c>
    </row>
    <row r="29" spans="1:8">
      <c r="A29" s="50" t="s">
        <v>48</v>
      </c>
      <c r="B29" s="50"/>
      <c r="C29" s="49"/>
      <c r="D29" s="49"/>
      <c r="E29" s="49"/>
      <c r="F29" s="49"/>
      <c r="G29" s="49"/>
      <c r="H29" s="49"/>
    </row>
    <row r="30" spans="1:8" ht="57.6">
      <c r="A30" s="5" t="s">
        <v>49</v>
      </c>
      <c r="B30" s="2" t="s">
        <v>50</v>
      </c>
    </row>
    <row r="31" spans="1:8" ht="43.2">
      <c r="A31" s="5" t="s">
        <v>51</v>
      </c>
      <c r="B31" s="2" t="s">
        <v>52</v>
      </c>
    </row>
    <row r="32" spans="1:8" ht="28.8">
      <c r="A32" s="5" t="s">
        <v>53</v>
      </c>
      <c r="B32" s="2" t="s">
        <v>54</v>
      </c>
    </row>
    <row r="33" spans="1:2" ht="43.2">
      <c r="A33" s="5" t="s">
        <v>55</v>
      </c>
      <c r="B33" s="2" t="s">
        <v>56</v>
      </c>
    </row>
    <row r="34" spans="1:2" ht="28.8">
      <c r="A34" s="5" t="s">
        <v>57</v>
      </c>
      <c r="B34" s="2" t="s">
        <v>58</v>
      </c>
    </row>
    <row r="35" spans="1:2" ht="43.2">
      <c r="A35" s="5" t="s">
        <v>59</v>
      </c>
      <c r="B35" s="2" t="s">
        <v>60</v>
      </c>
    </row>
    <row r="36" spans="1:2" ht="28.8">
      <c r="A36" s="5" t="s">
        <v>61</v>
      </c>
      <c r="B36" s="2" t="s">
        <v>62</v>
      </c>
    </row>
    <row r="37" spans="1:2" ht="43.2">
      <c r="A37" s="5" t="s">
        <v>63</v>
      </c>
      <c r="B37" s="2" t="s">
        <v>64</v>
      </c>
    </row>
    <row r="38" spans="1:2" ht="72">
      <c r="A38" s="5" t="s">
        <v>65</v>
      </c>
      <c r="B38" s="2" t="s">
        <v>66</v>
      </c>
    </row>
    <row r="39" spans="1:2" ht="43.2">
      <c r="A39" s="5" t="s">
        <v>67</v>
      </c>
      <c r="B39" s="2" t="s">
        <v>68</v>
      </c>
    </row>
    <row r="40" spans="1:2" ht="28.8">
      <c r="A40" s="5" t="s">
        <v>69</v>
      </c>
      <c r="B40" s="2" t="s">
        <v>70</v>
      </c>
    </row>
    <row r="41" spans="1:2" ht="28.8">
      <c r="A41" s="5" t="s">
        <v>71</v>
      </c>
      <c r="B41" s="2" t="s">
        <v>72</v>
      </c>
    </row>
    <row r="42" spans="1:2">
      <c r="A42" s="2"/>
      <c r="B42" s="2"/>
    </row>
    <row r="43" spans="1:2">
      <c r="A43" s="2"/>
      <c r="B43" s="2"/>
    </row>
    <row r="44" spans="1:2">
      <c r="A44" s="2"/>
      <c r="B44" s="2"/>
    </row>
    <row r="45" spans="1:2">
      <c r="A45" s="2"/>
      <c r="B45" s="2"/>
    </row>
    <row r="46" spans="1:2">
      <c r="A46" s="2"/>
      <c r="B46" s="2"/>
    </row>
    <row r="47" spans="1:2">
      <c r="A47" s="2"/>
      <c r="B47" s="2"/>
    </row>
    <row r="48" spans="1:2">
      <c r="A48" s="2"/>
      <c r="B48" s="2"/>
    </row>
  </sheetData>
  <mergeCells count="6">
    <mergeCell ref="A1:H1"/>
    <mergeCell ref="A2:H2"/>
    <mergeCell ref="A4:H4"/>
    <mergeCell ref="A13:H13"/>
    <mergeCell ref="A29:H29"/>
    <mergeCell ref="A20:H20"/>
  </mergeCells>
  <pageMargins left="0.7" right="0.7" top="0.75" bottom="0.75" header="0.3" footer="0.3"/>
  <headerFooter>
    <oddFooter>&amp;C_x000D_&amp;1#&amp;"Verdana"&amp;7&amp;K000000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55DB-E6F0-4F48-A2BF-4028CF9EBCA1}">
  <dimension ref="A1:Q11"/>
  <sheetViews>
    <sheetView workbookViewId="0">
      <pane ySplit="4" topLeftCell="A5" activePane="bottomLeft" state="frozen"/>
      <selection pane="bottomLeft" activeCell="D7" sqref="D7"/>
    </sheetView>
  </sheetViews>
  <sheetFormatPr defaultRowHeight="14.4"/>
  <cols>
    <col min="1" max="1" width="14.33203125" customWidth="1"/>
    <col min="2" max="2" width="27.5546875" customWidth="1"/>
    <col min="3" max="3" width="11.5546875" hidden="1" customWidth="1"/>
    <col min="4" max="4" width="59.5546875" customWidth="1"/>
    <col min="5" max="5" width="22.44140625" customWidth="1"/>
    <col min="6" max="6" width="20.5546875" customWidth="1"/>
    <col min="7" max="7" width="26" customWidth="1"/>
    <col min="8" max="8" width="29.5546875" customWidth="1"/>
    <col min="9" max="9" width="51.5546875" customWidth="1"/>
    <col min="10" max="10" width="36.6640625" customWidth="1"/>
    <col min="11" max="11" width="30.44140625" customWidth="1"/>
    <col min="12" max="13" width="91.88671875" customWidth="1"/>
    <col min="14" max="14" width="58.88671875" customWidth="1"/>
    <col min="15" max="15" width="34.33203125" customWidth="1"/>
    <col min="16" max="16" width="36.109375" customWidth="1"/>
    <col min="17" max="17" width="58" customWidth="1"/>
  </cols>
  <sheetData>
    <row r="1" spans="1:17" ht="32.25" customHeight="1">
      <c r="A1" s="19" t="s">
        <v>73</v>
      </c>
      <c r="B1" s="19"/>
      <c r="C1" s="19"/>
      <c r="D1" s="19"/>
      <c r="E1" s="19"/>
      <c r="F1" s="19"/>
      <c r="G1" s="19"/>
      <c r="H1" s="19"/>
      <c r="I1" s="19"/>
      <c r="J1" s="19"/>
      <c r="K1" s="19"/>
      <c r="L1" s="19"/>
      <c r="M1" s="19"/>
      <c r="N1" s="19"/>
      <c r="O1" s="19"/>
      <c r="P1" s="19"/>
      <c r="Q1" s="19"/>
    </row>
    <row r="2" spans="1:17" ht="42" customHeight="1">
      <c r="A2" s="20"/>
      <c r="B2" s="20"/>
      <c r="C2" s="20"/>
      <c r="D2" s="20"/>
      <c r="E2" s="20"/>
      <c r="F2" s="20"/>
      <c r="G2" s="20"/>
      <c r="H2" s="20"/>
      <c r="I2" s="20"/>
      <c r="J2" s="20"/>
      <c r="K2" s="20"/>
      <c r="L2" s="20"/>
      <c r="M2" s="20"/>
      <c r="N2" s="20"/>
      <c r="O2" s="20"/>
      <c r="P2" s="20"/>
      <c r="Q2" s="20"/>
    </row>
    <row r="4" spans="1:17" ht="69.75" customHeight="1">
      <c r="A4" s="14" t="s">
        <v>74</v>
      </c>
      <c r="B4" s="14" t="s">
        <v>75</v>
      </c>
      <c r="C4" s="14" t="s">
        <v>76</v>
      </c>
      <c r="D4" s="14" t="s">
        <v>77</v>
      </c>
      <c r="E4" s="14" t="s">
        <v>78</v>
      </c>
      <c r="F4" s="14" t="s">
        <v>79</v>
      </c>
      <c r="G4" s="14" t="s">
        <v>80</v>
      </c>
      <c r="H4" s="14" t="s">
        <v>81</v>
      </c>
      <c r="I4" s="14" t="s">
        <v>82</v>
      </c>
      <c r="J4" s="14" t="s">
        <v>83</v>
      </c>
      <c r="K4" s="14" t="s">
        <v>84</v>
      </c>
      <c r="L4" s="14" t="s">
        <v>85</v>
      </c>
      <c r="M4" s="14" t="s">
        <v>86</v>
      </c>
      <c r="N4" s="14" t="s">
        <v>87</v>
      </c>
      <c r="O4" s="14" t="s">
        <v>88</v>
      </c>
      <c r="P4" s="14" t="s">
        <v>89</v>
      </c>
      <c r="Q4" s="14" t="s">
        <v>90</v>
      </c>
    </row>
    <row r="5" spans="1:17" ht="124.5" customHeight="1">
      <c r="A5" s="31" t="s">
        <v>91</v>
      </c>
      <c r="B5" s="36" t="s">
        <v>92</v>
      </c>
      <c r="C5" s="16" t="s">
        <v>93</v>
      </c>
      <c r="D5" s="32" t="s">
        <v>94</v>
      </c>
      <c r="E5" s="33">
        <v>116</v>
      </c>
      <c r="F5" s="34">
        <v>18</v>
      </c>
      <c r="G5" s="33">
        <v>21</v>
      </c>
      <c r="H5" s="35">
        <v>336</v>
      </c>
      <c r="I5" s="15" t="s">
        <v>95</v>
      </c>
      <c r="J5" s="15" t="s">
        <v>96</v>
      </c>
      <c r="K5" s="15" t="s">
        <v>97</v>
      </c>
      <c r="L5" s="27" t="s">
        <v>98</v>
      </c>
      <c r="M5" s="29" t="s">
        <v>99</v>
      </c>
      <c r="N5" s="15" t="s">
        <v>100</v>
      </c>
      <c r="O5" s="15" t="s">
        <v>101</v>
      </c>
      <c r="P5" s="15" t="s">
        <v>102</v>
      </c>
      <c r="Q5" s="15" t="s">
        <v>103</v>
      </c>
    </row>
    <row r="6" spans="1:17" ht="104.25" customHeight="1">
      <c r="A6" s="31" t="s">
        <v>104</v>
      </c>
      <c r="B6" s="36" t="s">
        <v>105</v>
      </c>
      <c r="C6" s="16" t="s">
        <v>106</v>
      </c>
      <c r="D6" s="32" t="s">
        <v>107</v>
      </c>
      <c r="E6" s="33">
        <v>94</v>
      </c>
      <c r="F6" s="34">
        <v>16.8</v>
      </c>
      <c r="G6" s="33">
        <v>10</v>
      </c>
      <c r="H6" s="35">
        <v>110</v>
      </c>
      <c r="I6" s="15" t="s">
        <v>108</v>
      </c>
      <c r="J6" s="15" t="s">
        <v>109</v>
      </c>
      <c r="K6" s="15" t="s">
        <v>97</v>
      </c>
      <c r="L6" s="25" t="s">
        <v>110</v>
      </c>
      <c r="M6" s="29" t="s">
        <v>111</v>
      </c>
      <c r="N6" s="15" t="s">
        <v>112</v>
      </c>
      <c r="O6" s="15" t="s">
        <v>113</v>
      </c>
      <c r="P6" s="15" t="s">
        <v>114</v>
      </c>
      <c r="Q6" s="15" t="s">
        <v>115</v>
      </c>
    </row>
    <row r="7" spans="1:17" ht="111.75" customHeight="1">
      <c r="A7" s="31" t="s">
        <v>116</v>
      </c>
      <c r="B7" s="36" t="s">
        <v>117</v>
      </c>
      <c r="C7" s="16" t="s">
        <v>93</v>
      </c>
      <c r="D7" s="32" t="s">
        <v>118</v>
      </c>
      <c r="E7" s="33">
        <v>65</v>
      </c>
      <c r="F7" s="34">
        <v>16</v>
      </c>
      <c r="G7" s="33">
        <v>8</v>
      </c>
      <c r="H7" s="35">
        <v>46</v>
      </c>
      <c r="I7" s="15" t="s">
        <v>119</v>
      </c>
      <c r="J7" s="15" t="s">
        <v>120</v>
      </c>
      <c r="K7" s="15" t="s">
        <v>121</v>
      </c>
      <c r="L7" s="25" t="s">
        <v>122</v>
      </c>
      <c r="M7" s="28" t="s">
        <v>123</v>
      </c>
      <c r="N7" s="15" t="s">
        <v>124</v>
      </c>
      <c r="O7" s="15" t="s">
        <v>125</v>
      </c>
      <c r="P7" s="15" t="s">
        <v>126</v>
      </c>
      <c r="Q7" s="15" t="s">
        <v>127</v>
      </c>
    </row>
    <row r="8" spans="1:17" ht="96.75" customHeight="1">
      <c r="A8" s="31" t="s">
        <v>128</v>
      </c>
      <c r="B8" s="36" t="s">
        <v>129</v>
      </c>
      <c r="C8" s="16" t="s">
        <v>93</v>
      </c>
      <c r="D8" s="32" t="s">
        <v>130</v>
      </c>
      <c r="E8" s="33">
        <v>16</v>
      </c>
      <c r="F8" s="34">
        <v>15</v>
      </c>
      <c r="G8" s="33">
        <v>2</v>
      </c>
      <c r="H8" s="35">
        <v>16</v>
      </c>
      <c r="I8" s="15" t="s">
        <v>131</v>
      </c>
      <c r="J8" s="15" t="s">
        <v>132</v>
      </c>
      <c r="K8" s="15" t="s">
        <v>133</v>
      </c>
      <c r="L8" s="27" t="s">
        <v>134</v>
      </c>
      <c r="M8" s="29" t="s">
        <v>135</v>
      </c>
      <c r="N8" s="15" t="s">
        <v>136</v>
      </c>
      <c r="O8" s="15" t="s">
        <v>137</v>
      </c>
      <c r="P8" s="15" t="s">
        <v>138</v>
      </c>
      <c r="Q8" s="15" t="s">
        <v>139</v>
      </c>
    </row>
    <row r="9" spans="1:17" ht="124.8">
      <c r="A9" s="31" t="s">
        <v>140</v>
      </c>
      <c r="B9" s="36" t="s">
        <v>141</v>
      </c>
      <c r="C9" s="16" t="s">
        <v>93</v>
      </c>
      <c r="D9" s="32" t="s">
        <v>142</v>
      </c>
      <c r="E9" s="33">
        <v>78</v>
      </c>
      <c r="F9" s="34">
        <v>14.6</v>
      </c>
      <c r="G9" s="33">
        <v>2</v>
      </c>
      <c r="H9" s="35">
        <v>5</v>
      </c>
      <c r="I9" s="15" t="s">
        <v>143</v>
      </c>
      <c r="J9" s="15" t="s">
        <v>144</v>
      </c>
      <c r="K9" s="15" t="s">
        <v>145</v>
      </c>
      <c r="L9" s="27" t="s">
        <v>146</v>
      </c>
      <c r="M9" s="29" t="s">
        <v>147</v>
      </c>
      <c r="N9" s="15" t="s">
        <v>148</v>
      </c>
      <c r="O9" s="15" t="s">
        <v>149</v>
      </c>
      <c r="P9" s="15" t="s">
        <v>150</v>
      </c>
      <c r="Q9" s="15" t="s">
        <v>151</v>
      </c>
    </row>
    <row r="10" spans="1:17" ht="82.8">
      <c r="A10" s="31" t="s">
        <v>152</v>
      </c>
      <c r="B10" s="36" t="s">
        <v>153</v>
      </c>
      <c r="C10" s="16" t="s">
        <v>154</v>
      </c>
      <c r="D10" s="32" t="s">
        <v>155</v>
      </c>
      <c r="E10" s="33">
        <v>31</v>
      </c>
      <c r="F10" s="34">
        <v>14.5</v>
      </c>
      <c r="G10" s="33">
        <v>4</v>
      </c>
      <c r="H10" s="35">
        <v>20</v>
      </c>
      <c r="I10" s="15" t="s">
        <v>156</v>
      </c>
      <c r="J10" s="15" t="s">
        <v>157</v>
      </c>
      <c r="K10" s="15" t="s">
        <v>121</v>
      </c>
      <c r="L10" s="26" t="s">
        <v>158</v>
      </c>
      <c r="M10" s="29" t="s">
        <v>159</v>
      </c>
      <c r="N10" s="15" t="s">
        <v>160</v>
      </c>
      <c r="O10" s="15" t="s">
        <v>161</v>
      </c>
      <c r="P10" s="15" t="s">
        <v>162</v>
      </c>
      <c r="Q10" s="15" t="s">
        <v>163</v>
      </c>
    </row>
    <row r="11" spans="1:17" ht="88.5" customHeight="1">
      <c r="A11" s="31" t="s">
        <v>164</v>
      </c>
      <c r="B11" s="36" t="s">
        <v>165</v>
      </c>
      <c r="C11" s="16" t="s">
        <v>93</v>
      </c>
      <c r="D11" s="32" t="s">
        <v>166</v>
      </c>
      <c r="E11" s="33">
        <v>54</v>
      </c>
      <c r="F11" s="34">
        <v>12.75</v>
      </c>
      <c r="G11" s="33">
        <v>11</v>
      </c>
      <c r="H11" s="35">
        <v>60</v>
      </c>
      <c r="I11" s="15" t="s">
        <v>167</v>
      </c>
      <c r="J11" s="15" t="s">
        <v>168</v>
      </c>
      <c r="K11" s="15" t="s">
        <v>169</v>
      </c>
      <c r="L11" s="25" t="s">
        <v>170</v>
      </c>
      <c r="M11" s="29" t="s">
        <v>171</v>
      </c>
      <c r="N11" s="15" t="s">
        <v>172</v>
      </c>
      <c r="O11" s="15" t="s">
        <v>173</v>
      </c>
      <c r="P11" s="15" t="s">
        <v>174</v>
      </c>
      <c r="Q11" s="15" t="s">
        <v>175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BD4D4-2981-4AD8-A8AA-BA4D275FCAFA}">
  <dimension ref="A1:AH42"/>
  <sheetViews>
    <sheetView tabSelected="1" topLeftCell="A12" workbookViewId="0">
      <pane xSplit="1" topLeftCell="B1" activePane="topRight" state="frozen"/>
      <selection pane="topRight" activeCell="E14" sqref="E14"/>
    </sheetView>
  </sheetViews>
  <sheetFormatPr defaultColWidth="9.109375" defaultRowHeight="14.4"/>
  <cols>
    <col min="1" max="1" width="13.88671875" customWidth="1"/>
    <col min="2" max="2" width="17.109375" style="2" customWidth="1"/>
    <col min="3" max="3" width="23.44140625" style="2" customWidth="1"/>
    <col min="4" max="4" width="24.109375" style="2" customWidth="1"/>
    <col min="5" max="5" width="66.88671875" style="2" customWidth="1"/>
    <col min="6" max="6" width="18.109375" customWidth="1"/>
    <col min="7" max="7" width="22.88671875" customWidth="1"/>
    <col min="8" max="11" width="17.6640625" customWidth="1"/>
    <col min="12" max="13" width="57.88671875" customWidth="1"/>
    <col min="14" max="14" width="14.44140625" customWidth="1"/>
    <col min="15" max="15" width="8" customWidth="1"/>
    <col min="16" max="22" width="15.6640625" customWidth="1"/>
    <col min="23" max="27" width="18.109375" customWidth="1"/>
    <col min="28" max="28" width="20" customWidth="1"/>
    <col min="29" max="29" width="34.33203125" customWidth="1"/>
    <col min="30" max="30" width="20" customWidth="1"/>
    <col min="31" max="31" width="24.6640625" customWidth="1"/>
    <col min="32" max="32" width="9.109375" customWidth="1"/>
  </cols>
  <sheetData>
    <row r="1" spans="1:34" ht="30" customHeight="1">
      <c r="A1" s="51" t="s">
        <v>176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30"/>
    </row>
    <row r="2" spans="1:34" ht="30" customHeight="1">
      <c r="A2" s="24"/>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row>
    <row r="3" spans="1:34" ht="115.2">
      <c r="J3" s="22" t="s">
        <v>177</v>
      </c>
      <c r="K3" s="22" t="s">
        <v>178</v>
      </c>
    </row>
    <row r="4" spans="1:34">
      <c r="H4" s="23"/>
      <c r="I4" s="23"/>
      <c r="J4" s="23"/>
      <c r="K4" s="21"/>
      <c r="P4" s="23" t="s">
        <v>179</v>
      </c>
      <c r="Q4" s="23"/>
      <c r="R4" s="23"/>
      <c r="S4" s="23"/>
      <c r="T4" s="23"/>
      <c r="U4" s="23"/>
      <c r="V4" s="23"/>
    </row>
    <row r="5" spans="1:34" ht="45" customHeight="1">
      <c r="A5" s="2" t="s">
        <v>180</v>
      </c>
      <c r="B5" s="2" t="s">
        <v>181</v>
      </c>
      <c r="C5" s="2" t="s">
        <v>182</v>
      </c>
      <c r="D5" s="2" t="s">
        <v>183</v>
      </c>
      <c r="E5" s="2" t="s">
        <v>184</v>
      </c>
      <c r="F5" s="2" t="s">
        <v>185</v>
      </c>
      <c r="G5" s="2" t="s">
        <v>186</v>
      </c>
      <c r="H5" s="2" t="s">
        <v>187</v>
      </c>
      <c r="I5" s="2" t="s">
        <v>188</v>
      </c>
      <c r="J5" s="2" t="s">
        <v>189</v>
      </c>
      <c r="K5" s="2" t="s">
        <v>190</v>
      </c>
      <c r="L5" s="11" t="s">
        <v>191</v>
      </c>
      <c r="M5" s="11" t="s">
        <v>192</v>
      </c>
      <c r="N5" s="2" t="s">
        <v>193</v>
      </c>
      <c r="O5" s="2" t="s">
        <v>194</v>
      </c>
      <c r="P5" s="2" t="s">
        <v>195</v>
      </c>
      <c r="Q5" s="2" t="s">
        <v>196</v>
      </c>
      <c r="R5" s="2" t="s">
        <v>197</v>
      </c>
      <c r="S5" s="2" t="s">
        <v>198</v>
      </c>
      <c r="T5" s="2" t="s">
        <v>199</v>
      </c>
      <c r="U5" s="2" t="s">
        <v>200</v>
      </c>
      <c r="V5" s="2" t="s">
        <v>201</v>
      </c>
      <c r="W5" s="11" t="s">
        <v>202</v>
      </c>
      <c r="X5" s="2" t="s">
        <v>203</v>
      </c>
      <c r="Y5" s="2" t="s">
        <v>204</v>
      </c>
      <c r="Z5" s="2" t="s">
        <v>205</v>
      </c>
      <c r="AA5" s="2" t="s">
        <v>206</v>
      </c>
      <c r="AB5" s="2" t="s">
        <v>207</v>
      </c>
      <c r="AC5" s="2" t="s">
        <v>26</v>
      </c>
      <c r="AD5" s="2" t="s">
        <v>208</v>
      </c>
      <c r="AE5" s="2" t="s">
        <v>209</v>
      </c>
      <c r="AF5" s="2" t="s">
        <v>15</v>
      </c>
      <c r="AG5" s="2" t="s">
        <v>210</v>
      </c>
      <c r="AH5" s="2"/>
    </row>
    <row r="6" spans="1:34" ht="333" customHeight="1">
      <c r="A6" t="s">
        <v>211</v>
      </c>
      <c r="B6" s="2" t="s">
        <v>212</v>
      </c>
      <c r="C6" s="2" t="s">
        <v>213</v>
      </c>
      <c r="D6" s="2" t="s">
        <v>214</v>
      </c>
      <c r="E6" s="2" t="s">
        <v>215</v>
      </c>
      <c r="F6" t="s">
        <v>216</v>
      </c>
      <c r="G6" s="2" t="s">
        <v>217</v>
      </c>
      <c r="H6" s="17">
        <v>21</v>
      </c>
      <c r="I6">
        <v>2</v>
      </c>
      <c r="J6" s="17">
        <f>Problems[[#This Row],[Cross_Unit_ProblemRelevance_Count]]+Problems[[#This Row],[Pri signal, by voting (WS1, 8-26)]]</f>
        <v>23</v>
      </c>
      <c r="K6" s="17">
        <v>81</v>
      </c>
      <c r="L6" s="11" t="s">
        <v>218</v>
      </c>
      <c r="M6" s="11" t="s">
        <v>219</v>
      </c>
      <c r="N6" t="s">
        <v>220</v>
      </c>
      <c r="O6" t="s">
        <v>199</v>
      </c>
      <c r="P6" t="s">
        <v>221</v>
      </c>
      <c r="Q6" t="s">
        <v>221</v>
      </c>
      <c r="R6" t="s">
        <v>221</v>
      </c>
      <c r="S6" t="s">
        <v>221</v>
      </c>
      <c r="T6" t="s">
        <v>221</v>
      </c>
      <c r="U6" t="s">
        <v>221</v>
      </c>
      <c r="V6" t="s">
        <v>221</v>
      </c>
      <c r="W6" s="11" t="s">
        <v>222</v>
      </c>
      <c r="X6" t="s">
        <v>223</v>
      </c>
      <c r="Y6" t="s">
        <v>224</v>
      </c>
      <c r="Z6" t="s">
        <v>225</v>
      </c>
      <c r="AC6" t="s">
        <v>226</v>
      </c>
      <c r="AG6" t="s">
        <v>227</v>
      </c>
    </row>
    <row r="7" spans="1:34" ht="388.8">
      <c r="A7" t="s">
        <v>228</v>
      </c>
      <c r="B7" s="2" t="s">
        <v>229</v>
      </c>
      <c r="C7" s="2" t="s">
        <v>230</v>
      </c>
      <c r="D7" s="2" t="s">
        <v>231</v>
      </c>
      <c r="E7" s="2" t="s">
        <v>232</v>
      </c>
      <c r="F7" t="s">
        <v>233</v>
      </c>
      <c r="G7" s="2" t="s">
        <v>234</v>
      </c>
      <c r="H7" s="17">
        <v>21</v>
      </c>
      <c r="I7">
        <v>0</v>
      </c>
      <c r="J7" s="17">
        <v>21</v>
      </c>
      <c r="K7" s="17">
        <v>19</v>
      </c>
      <c r="L7" s="11" t="s">
        <v>235</v>
      </c>
      <c r="M7" s="11" t="s">
        <v>236</v>
      </c>
      <c r="N7" t="s">
        <v>220</v>
      </c>
      <c r="O7" t="s">
        <v>201</v>
      </c>
      <c r="P7" t="s">
        <v>221</v>
      </c>
      <c r="Q7" t="s">
        <v>221</v>
      </c>
      <c r="R7" t="s">
        <v>221</v>
      </c>
      <c r="S7" t="s">
        <v>221</v>
      </c>
      <c r="T7" t="s">
        <v>221</v>
      </c>
      <c r="U7" t="s">
        <v>221</v>
      </c>
      <c r="V7" t="s">
        <v>221</v>
      </c>
      <c r="W7" s="11" t="s">
        <v>237</v>
      </c>
      <c r="X7" t="s">
        <v>223</v>
      </c>
      <c r="Y7" t="s">
        <v>224</v>
      </c>
      <c r="Z7" t="s">
        <v>225</v>
      </c>
      <c r="AC7" t="s">
        <v>226</v>
      </c>
      <c r="AG7" t="s">
        <v>227</v>
      </c>
    </row>
    <row r="8" spans="1:34" ht="409.6">
      <c r="A8" t="s">
        <v>238</v>
      </c>
      <c r="B8" s="2" t="s">
        <v>239</v>
      </c>
      <c r="C8" s="2" t="s">
        <v>213</v>
      </c>
      <c r="D8" s="2" t="s">
        <v>240</v>
      </c>
      <c r="E8" s="2" t="s">
        <v>241</v>
      </c>
      <c r="F8" t="s">
        <v>242</v>
      </c>
      <c r="G8" s="2" t="s">
        <v>243</v>
      </c>
      <c r="H8" s="17">
        <v>20</v>
      </c>
      <c r="I8">
        <v>2</v>
      </c>
      <c r="J8" s="17">
        <f>Problems[[#This Row],[Cross_Unit_ProblemRelevance_Count]]+Problems[[#This Row],[Pri signal, by voting (WS1, 8-26)]]</f>
        <v>22</v>
      </c>
      <c r="K8" s="17">
        <v>61</v>
      </c>
      <c r="L8" s="11" t="s">
        <v>244</v>
      </c>
      <c r="M8" s="11" t="s">
        <v>245</v>
      </c>
      <c r="N8" t="s">
        <v>220</v>
      </c>
      <c r="O8" t="s">
        <v>200</v>
      </c>
      <c r="P8" t="s">
        <v>246</v>
      </c>
      <c r="Q8" t="s">
        <v>221</v>
      </c>
      <c r="R8" t="s">
        <v>221</v>
      </c>
      <c r="S8" t="s">
        <v>221</v>
      </c>
      <c r="T8" t="s">
        <v>221</v>
      </c>
      <c r="U8" t="s">
        <v>221</v>
      </c>
      <c r="V8" t="s">
        <v>221</v>
      </c>
      <c r="W8" s="11" t="s">
        <v>247</v>
      </c>
      <c r="X8" t="s">
        <v>223</v>
      </c>
      <c r="Y8" t="s">
        <v>224</v>
      </c>
      <c r="Z8" t="s">
        <v>225</v>
      </c>
      <c r="AC8" t="s">
        <v>226</v>
      </c>
      <c r="AG8" t="s">
        <v>227</v>
      </c>
    </row>
    <row r="9" spans="1:34" ht="409.6">
      <c r="A9" t="s">
        <v>248</v>
      </c>
      <c r="B9" s="2" t="s">
        <v>239</v>
      </c>
      <c r="C9" s="2" t="s">
        <v>213</v>
      </c>
      <c r="D9" s="2" t="s">
        <v>249</v>
      </c>
      <c r="E9" s="2" t="s">
        <v>250</v>
      </c>
      <c r="F9" t="s">
        <v>251</v>
      </c>
      <c r="G9" s="2" t="s">
        <v>252</v>
      </c>
      <c r="H9" s="17">
        <v>20</v>
      </c>
      <c r="I9">
        <v>0</v>
      </c>
      <c r="J9" s="17">
        <f>Problems[[#This Row],[Cross_Unit_ProblemRelevance_Count]]+Problems[[#This Row],[Pri signal, by voting (WS1, 8-26)]]</f>
        <v>20</v>
      </c>
      <c r="K9" s="17">
        <v>68</v>
      </c>
      <c r="L9" s="11" t="s">
        <v>253</v>
      </c>
      <c r="M9" s="11" t="s">
        <v>254</v>
      </c>
      <c r="N9" t="s">
        <v>220</v>
      </c>
      <c r="O9" t="s">
        <v>197</v>
      </c>
      <c r="P9" t="s">
        <v>246</v>
      </c>
      <c r="Q9" t="s">
        <v>221</v>
      </c>
      <c r="R9" t="s">
        <v>221</v>
      </c>
      <c r="S9" t="s">
        <v>221</v>
      </c>
      <c r="T9" t="s">
        <v>221</v>
      </c>
      <c r="U9" t="s">
        <v>221</v>
      </c>
      <c r="V9" t="s">
        <v>221</v>
      </c>
      <c r="W9" s="11" t="s">
        <v>255</v>
      </c>
      <c r="X9" t="s">
        <v>223</v>
      </c>
      <c r="Y9" t="s">
        <v>224</v>
      </c>
      <c r="Z9" t="s">
        <v>225</v>
      </c>
      <c r="AC9" t="s">
        <v>226</v>
      </c>
      <c r="AG9" t="s">
        <v>227</v>
      </c>
    </row>
    <row r="10" spans="1:34" ht="115.2">
      <c r="A10" t="s">
        <v>256</v>
      </c>
      <c r="B10" s="2" t="s">
        <v>257</v>
      </c>
      <c r="C10" s="2" t="s">
        <v>258</v>
      </c>
      <c r="D10" s="2" t="s">
        <v>259</v>
      </c>
      <c r="E10" s="2" t="s">
        <v>260</v>
      </c>
      <c r="F10" t="s">
        <v>261</v>
      </c>
      <c r="G10" s="2" t="s">
        <v>262</v>
      </c>
      <c r="H10" s="17">
        <v>19</v>
      </c>
      <c r="I10">
        <v>1</v>
      </c>
      <c r="J10" s="17">
        <f>Problems[[#This Row],[Cross_Unit_ProblemRelevance_Count]]+Problems[[#This Row],[Pri signal, by voting (WS1, 8-26)]]</f>
        <v>20</v>
      </c>
      <c r="K10" s="17">
        <v>0</v>
      </c>
      <c r="L10" s="11" t="s">
        <v>263</v>
      </c>
      <c r="M10" s="11" t="s">
        <v>158</v>
      </c>
      <c r="N10" t="s">
        <v>264</v>
      </c>
      <c r="O10" t="s">
        <v>195</v>
      </c>
      <c r="P10" t="s">
        <v>246</v>
      </c>
      <c r="Q10" t="s">
        <v>221</v>
      </c>
      <c r="R10" t="s">
        <v>221</v>
      </c>
      <c r="S10" t="s">
        <v>221</v>
      </c>
      <c r="T10" t="s">
        <v>221</v>
      </c>
      <c r="U10" t="s">
        <v>246</v>
      </c>
      <c r="V10" t="s">
        <v>221</v>
      </c>
      <c r="W10" s="11" t="s">
        <v>158</v>
      </c>
      <c r="X10" t="s">
        <v>223</v>
      </c>
      <c r="Y10" t="s">
        <v>224</v>
      </c>
      <c r="Z10" t="s">
        <v>225</v>
      </c>
      <c r="AC10" t="s">
        <v>226</v>
      </c>
      <c r="AG10" t="s">
        <v>227</v>
      </c>
    </row>
    <row r="11" spans="1:34" ht="409.6">
      <c r="A11" t="s">
        <v>265</v>
      </c>
      <c r="B11" s="2" t="s">
        <v>266</v>
      </c>
      <c r="C11" s="2" t="s">
        <v>230</v>
      </c>
      <c r="D11" s="2" t="s">
        <v>267</v>
      </c>
      <c r="E11" s="2" t="s">
        <v>268</v>
      </c>
      <c r="F11" t="s">
        <v>269</v>
      </c>
      <c r="G11" s="2" t="s">
        <v>234</v>
      </c>
      <c r="H11" s="17">
        <v>19</v>
      </c>
      <c r="I11">
        <v>2</v>
      </c>
      <c r="J11" s="17">
        <f>Problems[[#This Row],[Cross_Unit_ProblemRelevance_Count]]+Problems[[#This Row],[Pri signal, by voting (WS1, 8-26)]]</f>
        <v>21</v>
      </c>
      <c r="K11" s="17">
        <v>35</v>
      </c>
      <c r="L11" s="11" t="s">
        <v>270</v>
      </c>
      <c r="M11" s="11" t="s">
        <v>271</v>
      </c>
      <c r="N11" t="s">
        <v>220</v>
      </c>
      <c r="O11" t="s">
        <v>196</v>
      </c>
      <c r="P11" t="s">
        <v>246</v>
      </c>
      <c r="Q11" t="s">
        <v>221</v>
      </c>
      <c r="R11" t="s">
        <v>221</v>
      </c>
      <c r="S11" t="s">
        <v>221</v>
      </c>
      <c r="T11" t="s">
        <v>221</v>
      </c>
      <c r="U11" t="s">
        <v>246</v>
      </c>
      <c r="V11" t="s">
        <v>221</v>
      </c>
      <c r="W11" s="11" t="s">
        <v>272</v>
      </c>
      <c r="X11" t="s">
        <v>223</v>
      </c>
      <c r="Y11" t="s">
        <v>224</v>
      </c>
      <c r="Z11" t="s">
        <v>225</v>
      </c>
      <c r="AC11" t="s">
        <v>226</v>
      </c>
      <c r="AG11" t="s">
        <v>227</v>
      </c>
    </row>
    <row r="12" spans="1:34" ht="230.4">
      <c r="A12" t="s">
        <v>273</v>
      </c>
      <c r="B12" s="2" t="s">
        <v>274</v>
      </c>
      <c r="C12" s="2" t="s">
        <v>275</v>
      </c>
      <c r="D12" s="2" t="s">
        <v>276</v>
      </c>
      <c r="E12" s="2" t="s">
        <v>277</v>
      </c>
      <c r="F12" t="s">
        <v>261</v>
      </c>
      <c r="G12" s="2" t="s">
        <v>234</v>
      </c>
      <c r="H12" s="17">
        <v>18</v>
      </c>
      <c r="I12">
        <v>1</v>
      </c>
      <c r="J12" s="17">
        <f>Problems[[#This Row],[Cross_Unit_ProblemRelevance_Count]]+Problems[[#This Row],[Pri signal, by voting (WS1, 8-26)]]</f>
        <v>19</v>
      </c>
      <c r="K12" s="17">
        <v>7</v>
      </c>
      <c r="L12" s="11" t="s">
        <v>158</v>
      </c>
      <c r="M12" s="11" t="s">
        <v>278</v>
      </c>
      <c r="N12" t="s">
        <v>220</v>
      </c>
      <c r="O12" t="s">
        <v>195</v>
      </c>
      <c r="P12" t="s">
        <v>221</v>
      </c>
      <c r="Q12" t="s">
        <v>221</v>
      </c>
      <c r="R12" t="s">
        <v>221</v>
      </c>
      <c r="S12" t="s">
        <v>221</v>
      </c>
      <c r="T12" t="s">
        <v>221</v>
      </c>
      <c r="U12" t="s">
        <v>279</v>
      </c>
      <c r="V12" t="s">
        <v>221</v>
      </c>
      <c r="W12" s="11" t="s">
        <v>280</v>
      </c>
      <c r="X12" t="s">
        <v>223</v>
      </c>
      <c r="Y12" t="s">
        <v>224</v>
      </c>
      <c r="Z12" t="s">
        <v>225</v>
      </c>
      <c r="AC12" t="s">
        <v>226</v>
      </c>
      <c r="AG12" t="s">
        <v>227</v>
      </c>
    </row>
    <row r="13" spans="1:34" ht="86.4">
      <c r="A13" t="s">
        <v>281</v>
      </c>
      <c r="B13" s="2" t="s">
        <v>282</v>
      </c>
      <c r="C13" s="2" t="s">
        <v>275</v>
      </c>
      <c r="D13" s="2" t="s">
        <v>283</v>
      </c>
      <c r="E13" s="2" t="s">
        <v>284</v>
      </c>
      <c r="F13" t="s">
        <v>285</v>
      </c>
      <c r="G13" s="2" t="s">
        <v>286</v>
      </c>
      <c r="H13" s="17">
        <v>17</v>
      </c>
      <c r="I13">
        <v>0</v>
      </c>
      <c r="J13" s="17">
        <v>17</v>
      </c>
      <c r="K13" s="17">
        <v>0</v>
      </c>
      <c r="L13" s="11" t="s">
        <v>287</v>
      </c>
      <c r="M13" s="11" t="s">
        <v>158</v>
      </c>
      <c r="N13" t="s">
        <v>220</v>
      </c>
      <c r="O13" t="s">
        <v>201</v>
      </c>
      <c r="P13" t="s">
        <v>246</v>
      </c>
      <c r="Q13" t="s">
        <v>221</v>
      </c>
      <c r="R13" t="s">
        <v>246</v>
      </c>
      <c r="S13" t="s">
        <v>221</v>
      </c>
      <c r="T13" t="s">
        <v>246</v>
      </c>
      <c r="U13" t="s">
        <v>246</v>
      </c>
      <c r="V13" t="s">
        <v>221</v>
      </c>
      <c r="W13" s="11" t="s">
        <v>158</v>
      </c>
      <c r="X13" t="s">
        <v>223</v>
      </c>
      <c r="Y13" t="s">
        <v>224</v>
      </c>
      <c r="Z13" t="s">
        <v>225</v>
      </c>
      <c r="AC13" t="s">
        <v>226</v>
      </c>
      <c r="AG13" t="s">
        <v>227</v>
      </c>
    </row>
    <row r="14" spans="1:34" ht="409.6">
      <c r="A14" t="s">
        <v>288</v>
      </c>
      <c r="B14" s="2" t="s">
        <v>212</v>
      </c>
      <c r="C14" s="2" t="s">
        <v>213</v>
      </c>
      <c r="D14" s="2" t="s">
        <v>289</v>
      </c>
      <c r="E14" s="2" t="s">
        <v>290</v>
      </c>
      <c r="F14" t="s">
        <v>291</v>
      </c>
      <c r="G14" s="2" t="s">
        <v>286</v>
      </c>
      <c r="H14" s="17">
        <v>17</v>
      </c>
      <c r="I14">
        <v>1</v>
      </c>
      <c r="J14" s="17">
        <f>Problems[[#This Row],[Cross_Unit_ProblemRelevance_Count]]+Problems[[#This Row],[Pri signal, by voting (WS1, 8-26)]]</f>
        <v>18</v>
      </c>
      <c r="K14" s="17">
        <v>70</v>
      </c>
      <c r="L14" s="11" t="s">
        <v>292</v>
      </c>
      <c r="M14" s="11" t="s">
        <v>293</v>
      </c>
      <c r="N14" t="s">
        <v>220</v>
      </c>
      <c r="O14" t="s">
        <v>196</v>
      </c>
      <c r="P14" t="s">
        <v>221</v>
      </c>
      <c r="Q14" t="s">
        <v>221</v>
      </c>
      <c r="R14" t="s">
        <v>246</v>
      </c>
      <c r="S14" t="s">
        <v>294</v>
      </c>
      <c r="T14" t="s">
        <v>221</v>
      </c>
      <c r="U14" t="s">
        <v>246</v>
      </c>
      <c r="V14" t="s">
        <v>221</v>
      </c>
      <c r="W14" s="11" t="s">
        <v>295</v>
      </c>
      <c r="X14" t="s">
        <v>223</v>
      </c>
      <c r="Y14" t="s">
        <v>224</v>
      </c>
      <c r="Z14" t="s">
        <v>225</v>
      </c>
      <c r="AC14" t="s">
        <v>226</v>
      </c>
      <c r="AG14" t="s">
        <v>227</v>
      </c>
    </row>
    <row r="15" spans="1:34" ht="129.6">
      <c r="A15" t="s">
        <v>296</v>
      </c>
      <c r="B15" s="2" t="s">
        <v>297</v>
      </c>
      <c r="C15" s="2" t="s">
        <v>230</v>
      </c>
      <c r="D15" s="2" t="s">
        <v>298</v>
      </c>
      <c r="E15" s="2" t="s">
        <v>299</v>
      </c>
      <c r="F15" t="s">
        <v>261</v>
      </c>
      <c r="G15" s="2" t="s">
        <v>300</v>
      </c>
      <c r="H15" s="17">
        <v>17</v>
      </c>
      <c r="I15">
        <v>5</v>
      </c>
      <c r="J15" s="17">
        <f>Problems[[#This Row],[Cross_Unit_ProblemRelevance_Count]]+Problems[[#This Row],[Pri signal, by voting (WS1, 8-26)]]</f>
        <v>22</v>
      </c>
      <c r="K15" s="17">
        <v>0</v>
      </c>
      <c r="L15" s="11" t="s">
        <v>301</v>
      </c>
      <c r="M15" s="11" t="s">
        <v>158</v>
      </c>
      <c r="N15" t="s">
        <v>220</v>
      </c>
      <c r="O15" t="s">
        <v>195</v>
      </c>
      <c r="P15" t="s">
        <v>246</v>
      </c>
      <c r="Q15" t="s">
        <v>246</v>
      </c>
      <c r="R15" t="s">
        <v>246</v>
      </c>
      <c r="S15" t="s">
        <v>221</v>
      </c>
      <c r="T15" t="s">
        <v>221</v>
      </c>
      <c r="U15" t="s">
        <v>246</v>
      </c>
      <c r="V15" t="s">
        <v>221</v>
      </c>
      <c r="W15" s="11" t="s">
        <v>158</v>
      </c>
      <c r="X15" t="s">
        <v>223</v>
      </c>
      <c r="Y15" t="s">
        <v>224</v>
      </c>
      <c r="Z15" t="s">
        <v>225</v>
      </c>
      <c r="AC15" t="s">
        <v>226</v>
      </c>
      <c r="AG15" t="s">
        <v>227</v>
      </c>
    </row>
    <row r="16" spans="1:34" ht="43.2">
      <c r="A16" t="s">
        <v>302</v>
      </c>
      <c r="B16" s="2" t="s">
        <v>303</v>
      </c>
      <c r="C16" s="2" t="s">
        <v>304</v>
      </c>
      <c r="D16" s="2" t="s">
        <v>305</v>
      </c>
      <c r="E16" s="2" t="s">
        <v>306</v>
      </c>
      <c r="F16" t="s">
        <v>261</v>
      </c>
      <c r="G16" s="2" t="s">
        <v>243</v>
      </c>
      <c r="H16" s="17">
        <v>17</v>
      </c>
      <c r="I16">
        <v>2</v>
      </c>
      <c r="J16" s="17">
        <f>Problems[[#This Row],[Cross_Unit_ProblemRelevance_Count]]+Problems[[#This Row],[Pri signal, by voting (WS1, 8-26)]]</f>
        <v>19</v>
      </c>
      <c r="K16" s="17">
        <v>0</v>
      </c>
      <c r="L16" s="11" t="s">
        <v>158</v>
      </c>
      <c r="M16" s="11" t="s">
        <v>158</v>
      </c>
      <c r="N16" t="s">
        <v>264</v>
      </c>
      <c r="O16" t="s">
        <v>200</v>
      </c>
      <c r="P16" t="s">
        <v>246</v>
      </c>
      <c r="Q16" t="s">
        <v>246</v>
      </c>
      <c r="R16" t="s">
        <v>221</v>
      </c>
      <c r="S16" t="s">
        <v>294</v>
      </c>
      <c r="T16" t="s">
        <v>221</v>
      </c>
      <c r="U16" t="s">
        <v>221</v>
      </c>
      <c r="V16" t="s">
        <v>221</v>
      </c>
      <c r="W16" s="11" t="s">
        <v>158</v>
      </c>
      <c r="X16" t="s">
        <v>223</v>
      </c>
      <c r="Y16" t="s">
        <v>224</v>
      </c>
      <c r="Z16" t="s">
        <v>225</v>
      </c>
      <c r="AC16" t="s">
        <v>226</v>
      </c>
      <c r="AG16" t="s">
        <v>227</v>
      </c>
    </row>
    <row r="17" spans="1:33" ht="409.6">
      <c r="A17" t="s">
        <v>307</v>
      </c>
      <c r="B17" s="2" t="s">
        <v>212</v>
      </c>
      <c r="C17" s="2" t="s">
        <v>275</v>
      </c>
      <c r="D17" s="2" t="s">
        <v>308</v>
      </c>
      <c r="E17" s="2" t="s">
        <v>309</v>
      </c>
      <c r="F17" t="s">
        <v>261</v>
      </c>
      <c r="G17" s="2" t="s">
        <v>217</v>
      </c>
      <c r="H17" s="17">
        <v>16</v>
      </c>
      <c r="I17">
        <v>0</v>
      </c>
      <c r="J17" s="17">
        <f>Problems[[#This Row],[Cross_Unit_ProblemRelevance_Count]]+Problems[[#This Row],[Pri signal, by voting (WS1, 8-26)]]</f>
        <v>16</v>
      </c>
      <c r="K17" s="17">
        <v>39</v>
      </c>
      <c r="L17" s="11" t="s">
        <v>310</v>
      </c>
      <c r="M17" s="11" t="s">
        <v>311</v>
      </c>
      <c r="N17" t="s">
        <v>220</v>
      </c>
      <c r="O17" t="s">
        <v>200</v>
      </c>
      <c r="P17" t="s">
        <v>221</v>
      </c>
      <c r="Q17" t="s">
        <v>221</v>
      </c>
      <c r="R17" t="s">
        <v>246</v>
      </c>
      <c r="S17" t="s">
        <v>294</v>
      </c>
      <c r="T17" t="s">
        <v>294</v>
      </c>
      <c r="U17" t="s">
        <v>221</v>
      </c>
      <c r="V17" t="s">
        <v>221</v>
      </c>
      <c r="W17" s="11" t="s">
        <v>312</v>
      </c>
      <c r="X17" t="s">
        <v>223</v>
      </c>
      <c r="Y17" t="s">
        <v>224</v>
      </c>
      <c r="Z17" t="s">
        <v>225</v>
      </c>
      <c r="AC17" t="s">
        <v>226</v>
      </c>
      <c r="AG17" t="s">
        <v>227</v>
      </c>
    </row>
    <row r="18" spans="1:33" ht="409.6">
      <c r="A18" t="s">
        <v>313</v>
      </c>
      <c r="B18" s="2" t="s">
        <v>314</v>
      </c>
      <c r="C18" s="2" t="s">
        <v>213</v>
      </c>
      <c r="D18" s="2" t="s">
        <v>315</v>
      </c>
      <c r="E18" s="2" t="s">
        <v>316</v>
      </c>
      <c r="F18" t="s">
        <v>317</v>
      </c>
      <c r="G18" s="2" t="s">
        <v>286</v>
      </c>
      <c r="H18" s="17">
        <v>16</v>
      </c>
      <c r="I18">
        <v>1</v>
      </c>
      <c r="J18" s="17">
        <f>Problems[[#This Row],[Cross_Unit_ProblemRelevance_Count]]+Problems[[#This Row],[Pri signal, by voting (WS1, 8-26)]]</f>
        <v>17</v>
      </c>
      <c r="K18" s="17">
        <v>25</v>
      </c>
      <c r="L18" s="11" t="s">
        <v>318</v>
      </c>
      <c r="M18" s="11" t="s">
        <v>319</v>
      </c>
      <c r="N18" t="s">
        <v>220</v>
      </c>
      <c r="O18" t="s">
        <v>196</v>
      </c>
      <c r="P18" t="s">
        <v>246</v>
      </c>
      <c r="Q18" t="s">
        <v>221</v>
      </c>
      <c r="R18" t="s">
        <v>221</v>
      </c>
      <c r="S18" t="s">
        <v>221</v>
      </c>
      <c r="T18" t="s">
        <v>246</v>
      </c>
      <c r="U18" t="s">
        <v>279</v>
      </c>
      <c r="V18" t="s">
        <v>221</v>
      </c>
      <c r="W18" s="11" t="s">
        <v>320</v>
      </c>
      <c r="X18" t="s">
        <v>223</v>
      </c>
      <c r="Y18" t="s">
        <v>224</v>
      </c>
      <c r="Z18" t="s">
        <v>225</v>
      </c>
      <c r="AC18" t="s">
        <v>226</v>
      </c>
      <c r="AG18" t="s">
        <v>227</v>
      </c>
    </row>
    <row r="19" spans="1:33" ht="244.8">
      <c r="A19" t="s">
        <v>321</v>
      </c>
      <c r="B19" s="2" t="s">
        <v>314</v>
      </c>
      <c r="C19" s="2" t="s">
        <v>322</v>
      </c>
      <c r="D19" s="2" t="s">
        <v>323</v>
      </c>
      <c r="E19" s="2" t="s">
        <v>324</v>
      </c>
      <c r="F19" t="s">
        <v>261</v>
      </c>
      <c r="G19" s="2" t="s">
        <v>286</v>
      </c>
      <c r="H19" s="17">
        <v>15</v>
      </c>
      <c r="I19">
        <v>1</v>
      </c>
      <c r="J19" s="17">
        <f>Problems[[#This Row],[Cross_Unit_ProblemRelevance_Count]]+Problems[[#This Row],[Pri signal, by voting (WS1, 8-26)]]</f>
        <v>16</v>
      </c>
      <c r="K19" s="17">
        <v>16</v>
      </c>
      <c r="L19" s="11" t="s">
        <v>325</v>
      </c>
      <c r="M19" s="11" t="s">
        <v>326</v>
      </c>
      <c r="N19" t="s">
        <v>220</v>
      </c>
      <c r="O19" t="s">
        <v>198</v>
      </c>
      <c r="P19" t="s">
        <v>294</v>
      </c>
      <c r="Q19" t="s">
        <v>221</v>
      </c>
      <c r="R19" t="s">
        <v>246</v>
      </c>
      <c r="S19" t="s">
        <v>221</v>
      </c>
      <c r="T19" t="s">
        <v>221</v>
      </c>
      <c r="U19" t="s">
        <v>279</v>
      </c>
      <c r="V19" t="s">
        <v>221</v>
      </c>
      <c r="W19" s="11" t="s">
        <v>327</v>
      </c>
      <c r="X19" t="s">
        <v>223</v>
      </c>
      <c r="Y19" t="s">
        <v>224</v>
      </c>
      <c r="Z19" t="s">
        <v>225</v>
      </c>
      <c r="AC19" t="s">
        <v>226</v>
      </c>
      <c r="AG19" t="s">
        <v>227</v>
      </c>
    </row>
    <row r="20" spans="1:33" ht="172.8">
      <c r="A20" t="s">
        <v>328</v>
      </c>
      <c r="B20" s="2" t="s">
        <v>257</v>
      </c>
      <c r="C20" s="2" t="s">
        <v>258</v>
      </c>
      <c r="D20" s="2" t="s">
        <v>329</v>
      </c>
      <c r="E20" s="2" t="s">
        <v>330</v>
      </c>
      <c r="F20" t="s">
        <v>331</v>
      </c>
      <c r="G20" s="2" t="s">
        <v>332</v>
      </c>
      <c r="H20" s="17">
        <v>15</v>
      </c>
      <c r="I20">
        <v>1</v>
      </c>
      <c r="J20" s="17">
        <f>Problems[[#This Row],[Cross_Unit_ProblemRelevance_Count]]+Problems[[#This Row],[Pri signal, by voting (WS1, 8-26)]]</f>
        <v>16</v>
      </c>
      <c r="K20" s="17">
        <v>0</v>
      </c>
      <c r="L20" s="11" t="s">
        <v>333</v>
      </c>
      <c r="M20" s="11" t="s">
        <v>158</v>
      </c>
      <c r="N20" t="s">
        <v>220</v>
      </c>
      <c r="O20" t="s">
        <v>198</v>
      </c>
      <c r="P20" t="s">
        <v>246</v>
      </c>
      <c r="Q20" t="s">
        <v>246</v>
      </c>
      <c r="R20" t="s">
        <v>246</v>
      </c>
      <c r="S20" t="s">
        <v>221</v>
      </c>
      <c r="T20" t="s">
        <v>221</v>
      </c>
      <c r="U20" t="s">
        <v>279</v>
      </c>
      <c r="V20" t="s">
        <v>221</v>
      </c>
      <c r="W20" s="11" t="s">
        <v>158</v>
      </c>
      <c r="X20" t="s">
        <v>223</v>
      </c>
      <c r="Y20" t="s">
        <v>224</v>
      </c>
      <c r="Z20" t="s">
        <v>225</v>
      </c>
      <c r="AC20" t="s">
        <v>226</v>
      </c>
      <c r="AG20" t="s">
        <v>227</v>
      </c>
    </row>
    <row r="21" spans="1:33" ht="409.6">
      <c r="A21" t="s">
        <v>334</v>
      </c>
      <c r="B21" s="2" t="s">
        <v>212</v>
      </c>
      <c r="C21" s="2" t="s">
        <v>213</v>
      </c>
      <c r="D21" s="2" t="s">
        <v>335</v>
      </c>
      <c r="E21" s="2" t="s">
        <v>336</v>
      </c>
      <c r="F21" t="s">
        <v>337</v>
      </c>
      <c r="G21" s="2" t="s">
        <v>217</v>
      </c>
      <c r="H21" s="17">
        <v>14</v>
      </c>
      <c r="I21">
        <v>2</v>
      </c>
      <c r="J21" s="17">
        <f>Problems[[#This Row],[Cross_Unit_ProblemRelevance_Count]]+Problems[[#This Row],[Pri signal, by voting (WS1, 8-26)]]</f>
        <v>16</v>
      </c>
      <c r="K21" s="17">
        <v>31</v>
      </c>
      <c r="L21" s="11" t="s">
        <v>338</v>
      </c>
      <c r="M21" s="11" t="s">
        <v>339</v>
      </c>
      <c r="N21" t="s">
        <v>220</v>
      </c>
      <c r="O21" t="s">
        <v>198</v>
      </c>
      <c r="P21" t="s">
        <v>246</v>
      </c>
      <c r="Q21" t="s">
        <v>246</v>
      </c>
      <c r="R21" t="s">
        <v>246</v>
      </c>
      <c r="S21" t="s">
        <v>221</v>
      </c>
      <c r="T21" t="s">
        <v>246</v>
      </c>
      <c r="U21" t="s">
        <v>279</v>
      </c>
      <c r="V21" t="s">
        <v>221</v>
      </c>
      <c r="W21" s="11" t="s">
        <v>340</v>
      </c>
      <c r="X21" t="s">
        <v>223</v>
      </c>
      <c r="Y21" t="s">
        <v>224</v>
      </c>
      <c r="Z21" t="s">
        <v>225</v>
      </c>
      <c r="AC21" t="s">
        <v>226</v>
      </c>
      <c r="AG21" t="s">
        <v>227</v>
      </c>
    </row>
    <row r="22" spans="1:33" ht="409.6">
      <c r="A22" t="s">
        <v>341</v>
      </c>
      <c r="B22" s="2" t="s">
        <v>342</v>
      </c>
      <c r="C22" s="2" t="s">
        <v>343</v>
      </c>
      <c r="D22" s="2" t="s">
        <v>344</v>
      </c>
      <c r="E22" s="2" t="s">
        <v>345</v>
      </c>
      <c r="F22" t="s">
        <v>346</v>
      </c>
      <c r="G22" s="2" t="s">
        <v>286</v>
      </c>
      <c r="H22" s="17">
        <v>14</v>
      </c>
      <c r="I22">
        <v>1</v>
      </c>
      <c r="J22" s="17">
        <f>Problems[[#This Row],[Cross_Unit_ProblemRelevance_Count]]+Problems[[#This Row],[Pri signal, by voting (WS1, 8-26)]]</f>
        <v>15</v>
      </c>
      <c r="K22" s="17">
        <v>19</v>
      </c>
      <c r="L22" s="11" t="s">
        <v>347</v>
      </c>
      <c r="M22" s="11" t="s">
        <v>348</v>
      </c>
      <c r="N22" t="s">
        <v>349</v>
      </c>
      <c r="O22" t="s">
        <v>198</v>
      </c>
      <c r="P22" t="s">
        <v>246</v>
      </c>
      <c r="Q22" t="s">
        <v>221</v>
      </c>
      <c r="R22" t="s">
        <v>294</v>
      </c>
      <c r="S22" t="s">
        <v>221</v>
      </c>
      <c r="T22" t="s">
        <v>246</v>
      </c>
      <c r="U22" t="s">
        <v>279</v>
      </c>
      <c r="V22" t="s">
        <v>221</v>
      </c>
      <c r="W22" s="11" t="s">
        <v>350</v>
      </c>
      <c r="X22" t="s">
        <v>223</v>
      </c>
      <c r="Y22" t="s">
        <v>224</v>
      </c>
      <c r="Z22" t="s">
        <v>225</v>
      </c>
      <c r="AC22" t="s">
        <v>226</v>
      </c>
      <c r="AG22" t="s">
        <v>227</v>
      </c>
    </row>
    <row r="23" spans="1:33" ht="409.6">
      <c r="A23" t="s">
        <v>351</v>
      </c>
      <c r="B23" s="2" t="s">
        <v>342</v>
      </c>
      <c r="C23" s="2" t="s">
        <v>343</v>
      </c>
      <c r="D23" s="2" t="s">
        <v>352</v>
      </c>
      <c r="E23" s="2" t="s">
        <v>353</v>
      </c>
      <c r="F23" t="s">
        <v>354</v>
      </c>
      <c r="G23" s="2" t="s">
        <v>355</v>
      </c>
      <c r="H23" s="17">
        <v>14</v>
      </c>
      <c r="I23">
        <v>1</v>
      </c>
      <c r="J23" s="17">
        <f>Problems[[#This Row],[Cross_Unit_ProblemRelevance_Count]]+Problems[[#This Row],[Pri signal, by voting (WS1, 8-26)]]</f>
        <v>15</v>
      </c>
      <c r="K23" s="17">
        <v>33</v>
      </c>
      <c r="L23" s="11" t="s">
        <v>356</v>
      </c>
      <c r="M23" s="11" t="s">
        <v>357</v>
      </c>
      <c r="N23" t="s">
        <v>220</v>
      </c>
      <c r="O23" t="s">
        <v>199</v>
      </c>
      <c r="P23" t="s">
        <v>246</v>
      </c>
      <c r="Q23" t="s">
        <v>246</v>
      </c>
      <c r="R23" t="s">
        <v>246</v>
      </c>
      <c r="S23" t="s">
        <v>246</v>
      </c>
      <c r="T23" t="s">
        <v>221</v>
      </c>
      <c r="U23" t="s">
        <v>279</v>
      </c>
      <c r="V23" t="s">
        <v>221</v>
      </c>
      <c r="W23" s="11" t="s">
        <v>358</v>
      </c>
      <c r="X23" t="s">
        <v>223</v>
      </c>
      <c r="Y23" t="s">
        <v>224</v>
      </c>
      <c r="Z23" t="s">
        <v>225</v>
      </c>
      <c r="AC23" t="s">
        <v>226</v>
      </c>
      <c r="AG23" t="s">
        <v>227</v>
      </c>
    </row>
    <row r="24" spans="1:33" ht="115.2">
      <c r="A24" t="s">
        <v>359</v>
      </c>
      <c r="B24" s="2" t="s">
        <v>257</v>
      </c>
      <c r="C24" s="2" t="s">
        <v>258</v>
      </c>
      <c r="D24" s="2" t="s">
        <v>360</v>
      </c>
      <c r="E24" s="2" t="s">
        <v>361</v>
      </c>
      <c r="F24" t="s">
        <v>362</v>
      </c>
      <c r="G24" s="2" t="s">
        <v>355</v>
      </c>
      <c r="H24" s="17">
        <v>14</v>
      </c>
      <c r="I24">
        <v>1</v>
      </c>
      <c r="J24" s="17">
        <f>Problems[[#This Row],[Cross_Unit_ProblemRelevance_Count]]+Problems[[#This Row],[Pri signal, by voting (WS1, 8-26)]]</f>
        <v>15</v>
      </c>
      <c r="K24" s="17">
        <v>0</v>
      </c>
      <c r="L24" s="11" t="s">
        <v>363</v>
      </c>
      <c r="M24" s="11" t="s">
        <v>158</v>
      </c>
      <c r="N24" t="s">
        <v>364</v>
      </c>
      <c r="O24" t="s">
        <v>199</v>
      </c>
      <c r="P24" t="s">
        <v>246</v>
      </c>
      <c r="Q24" t="s">
        <v>294</v>
      </c>
      <c r="R24" t="s">
        <v>221</v>
      </c>
      <c r="S24" t="s">
        <v>246</v>
      </c>
      <c r="T24" t="s">
        <v>221</v>
      </c>
      <c r="U24" t="s">
        <v>279</v>
      </c>
      <c r="V24" t="s">
        <v>221</v>
      </c>
      <c r="W24" s="11" t="s">
        <v>158</v>
      </c>
      <c r="X24" t="s">
        <v>223</v>
      </c>
      <c r="Y24" t="s">
        <v>224</v>
      </c>
      <c r="Z24" t="s">
        <v>225</v>
      </c>
      <c r="AC24" t="s">
        <v>226</v>
      </c>
      <c r="AG24" t="s">
        <v>227</v>
      </c>
    </row>
    <row r="25" spans="1:33" ht="273.60000000000002">
      <c r="A25" t="s">
        <v>365</v>
      </c>
      <c r="B25" s="2" t="s">
        <v>297</v>
      </c>
      <c r="C25" s="2" t="s">
        <v>258</v>
      </c>
      <c r="D25" s="2" t="s">
        <v>366</v>
      </c>
      <c r="E25" s="2" t="s">
        <v>367</v>
      </c>
      <c r="F25" t="s">
        <v>261</v>
      </c>
      <c r="G25" s="2" t="s">
        <v>368</v>
      </c>
      <c r="H25" s="17">
        <v>14</v>
      </c>
      <c r="I25">
        <v>0</v>
      </c>
      <c r="J25" s="17">
        <f>Problems[[#This Row],[Cross_Unit_ProblemRelevance_Count]]+Problems[[#This Row],[Pri signal, by voting (WS1, 8-26)]]</f>
        <v>14</v>
      </c>
      <c r="K25" s="17">
        <v>5</v>
      </c>
      <c r="L25" s="11" t="s">
        <v>369</v>
      </c>
      <c r="M25" s="11" t="s">
        <v>370</v>
      </c>
      <c r="N25" t="s">
        <v>220</v>
      </c>
      <c r="O25" t="s">
        <v>200</v>
      </c>
      <c r="P25" t="s">
        <v>221</v>
      </c>
      <c r="Q25" t="s">
        <v>246</v>
      </c>
      <c r="R25" t="s">
        <v>246</v>
      </c>
      <c r="S25" t="s">
        <v>246</v>
      </c>
      <c r="T25" t="s">
        <v>279</v>
      </c>
      <c r="U25" t="s">
        <v>221</v>
      </c>
      <c r="V25" t="s">
        <v>246</v>
      </c>
      <c r="W25" s="11" t="s">
        <v>371</v>
      </c>
      <c r="X25" t="s">
        <v>223</v>
      </c>
      <c r="Y25" t="s">
        <v>224</v>
      </c>
      <c r="Z25" t="s">
        <v>225</v>
      </c>
      <c r="AC25" t="s">
        <v>226</v>
      </c>
      <c r="AG25" t="s">
        <v>227</v>
      </c>
    </row>
    <row r="26" spans="1:33" ht="345.6">
      <c r="A26" t="s">
        <v>372</v>
      </c>
      <c r="B26" s="2" t="s">
        <v>373</v>
      </c>
      <c r="C26" s="2" t="s">
        <v>230</v>
      </c>
      <c r="D26" s="2" t="s">
        <v>374</v>
      </c>
      <c r="E26" s="2" t="s">
        <v>375</v>
      </c>
      <c r="F26" t="s">
        <v>376</v>
      </c>
      <c r="G26" s="2" t="s">
        <v>377</v>
      </c>
      <c r="H26" s="17">
        <v>14</v>
      </c>
      <c r="I26">
        <v>3</v>
      </c>
      <c r="J26" s="17">
        <f>Problems[[#This Row],[Cross_Unit_ProblemRelevance_Count]]+Problems[[#This Row],[Pri signal, by voting (WS1, 8-26)]]</f>
        <v>17</v>
      </c>
      <c r="K26" s="17">
        <v>15</v>
      </c>
      <c r="L26" s="11" t="s">
        <v>378</v>
      </c>
      <c r="M26" s="11" t="s">
        <v>379</v>
      </c>
      <c r="N26" t="s">
        <v>220</v>
      </c>
      <c r="O26" t="s">
        <v>197</v>
      </c>
      <c r="P26" t="s">
        <v>246</v>
      </c>
      <c r="Q26" t="s">
        <v>221</v>
      </c>
      <c r="R26" t="s">
        <v>221</v>
      </c>
      <c r="S26" t="s">
        <v>294</v>
      </c>
      <c r="T26" t="s">
        <v>246</v>
      </c>
      <c r="U26" t="s">
        <v>279</v>
      </c>
      <c r="V26" t="s">
        <v>221</v>
      </c>
      <c r="W26" s="11" t="s">
        <v>380</v>
      </c>
      <c r="X26" t="s">
        <v>223</v>
      </c>
      <c r="Y26" t="s">
        <v>224</v>
      </c>
      <c r="Z26" t="s">
        <v>225</v>
      </c>
      <c r="AC26" t="s">
        <v>226</v>
      </c>
      <c r="AG26" t="s">
        <v>227</v>
      </c>
    </row>
    <row r="27" spans="1:33" ht="86.4">
      <c r="A27" t="s">
        <v>381</v>
      </c>
      <c r="B27" s="2" t="s">
        <v>282</v>
      </c>
      <c r="C27" s="2" t="s">
        <v>275</v>
      </c>
      <c r="D27" s="2" t="s">
        <v>382</v>
      </c>
      <c r="E27" s="2" t="s">
        <v>383</v>
      </c>
      <c r="F27" t="s">
        <v>233</v>
      </c>
      <c r="G27" s="2" t="s">
        <v>332</v>
      </c>
      <c r="H27" s="17">
        <v>13</v>
      </c>
      <c r="I27">
        <v>0</v>
      </c>
      <c r="J27" s="17">
        <v>13</v>
      </c>
      <c r="K27" s="17">
        <v>0</v>
      </c>
      <c r="L27" s="11" t="s">
        <v>384</v>
      </c>
      <c r="M27" s="11" t="s">
        <v>158</v>
      </c>
      <c r="N27" t="s">
        <v>220</v>
      </c>
      <c r="O27" t="s">
        <v>201</v>
      </c>
      <c r="P27" t="s">
        <v>294</v>
      </c>
      <c r="Q27" t="s">
        <v>221</v>
      </c>
      <c r="R27" t="s">
        <v>294</v>
      </c>
      <c r="S27" t="s">
        <v>246</v>
      </c>
      <c r="T27" t="s">
        <v>246</v>
      </c>
      <c r="U27" t="s">
        <v>294</v>
      </c>
      <c r="V27" t="s">
        <v>221</v>
      </c>
      <c r="W27" s="11" t="s">
        <v>158</v>
      </c>
      <c r="X27" t="s">
        <v>223</v>
      </c>
      <c r="Y27" t="s">
        <v>224</v>
      </c>
      <c r="Z27" t="s">
        <v>225</v>
      </c>
      <c r="AC27" t="s">
        <v>226</v>
      </c>
      <c r="AG27" t="s">
        <v>227</v>
      </c>
    </row>
    <row r="28" spans="1:33" ht="331.2">
      <c r="A28" t="s">
        <v>385</v>
      </c>
      <c r="B28" s="2" t="s">
        <v>386</v>
      </c>
      <c r="C28" s="2" t="s">
        <v>343</v>
      </c>
      <c r="D28" s="2" t="s">
        <v>387</v>
      </c>
      <c r="E28" s="2" t="s">
        <v>388</v>
      </c>
      <c r="F28" t="s">
        <v>389</v>
      </c>
      <c r="G28" s="2" t="s">
        <v>332</v>
      </c>
      <c r="H28" s="17">
        <v>13</v>
      </c>
      <c r="I28">
        <v>0</v>
      </c>
      <c r="J28" s="17">
        <f>Problems[[#This Row],[Cross_Unit_ProblemRelevance_Count]]+Problems[[#This Row],[Pri signal, by voting (WS1, 8-26)]]</f>
        <v>13</v>
      </c>
      <c r="K28" s="17">
        <v>8</v>
      </c>
      <c r="L28" s="11" t="s">
        <v>390</v>
      </c>
      <c r="M28" s="11" t="s">
        <v>391</v>
      </c>
      <c r="N28" t="s">
        <v>220</v>
      </c>
      <c r="O28" t="s">
        <v>199</v>
      </c>
      <c r="P28" t="s">
        <v>246</v>
      </c>
      <c r="Q28" t="s">
        <v>294</v>
      </c>
      <c r="R28" t="s">
        <v>221</v>
      </c>
      <c r="S28" t="s">
        <v>294</v>
      </c>
      <c r="T28" t="s">
        <v>221</v>
      </c>
      <c r="U28" t="s">
        <v>279</v>
      </c>
      <c r="V28" t="s">
        <v>221</v>
      </c>
      <c r="W28" s="11" t="s">
        <v>392</v>
      </c>
      <c r="X28" t="s">
        <v>223</v>
      </c>
      <c r="Y28" t="s">
        <v>224</v>
      </c>
      <c r="Z28" t="s">
        <v>225</v>
      </c>
      <c r="AC28" t="s">
        <v>226</v>
      </c>
      <c r="AG28" t="s">
        <v>227</v>
      </c>
    </row>
    <row r="29" spans="1:33" ht="409.6">
      <c r="A29" t="s">
        <v>393</v>
      </c>
      <c r="B29" s="2" t="s">
        <v>373</v>
      </c>
      <c r="C29" s="2" t="s">
        <v>230</v>
      </c>
      <c r="D29" s="2" t="s">
        <v>394</v>
      </c>
      <c r="E29" s="2" t="s">
        <v>395</v>
      </c>
      <c r="F29" t="s">
        <v>261</v>
      </c>
      <c r="G29" s="2" t="s">
        <v>217</v>
      </c>
      <c r="H29" s="17">
        <v>13</v>
      </c>
      <c r="I29">
        <v>0</v>
      </c>
      <c r="J29" s="17">
        <f>Problems[[#This Row],[Cross_Unit_ProblemRelevance_Count]]+Problems[[#This Row],[Pri signal, by voting (WS1, 8-26)]]</f>
        <v>13</v>
      </c>
      <c r="K29" s="17">
        <v>41</v>
      </c>
      <c r="L29" s="11" t="s">
        <v>396</v>
      </c>
      <c r="M29" s="11" t="s">
        <v>397</v>
      </c>
      <c r="N29" t="s">
        <v>220</v>
      </c>
      <c r="O29" t="s">
        <v>195</v>
      </c>
      <c r="P29" t="s">
        <v>279</v>
      </c>
      <c r="Q29" t="s">
        <v>294</v>
      </c>
      <c r="R29" t="s">
        <v>221</v>
      </c>
      <c r="S29" t="s">
        <v>246</v>
      </c>
      <c r="T29" t="s">
        <v>221</v>
      </c>
      <c r="U29" t="s">
        <v>246</v>
      </c>
      <c r="V29" t="s">
        <v>246</v>
      </c>
      <c r="W29" s="11" t="s">
        <v>398</v>
      </c>
      <c r="X29" t="s">
        <v>223</v>
      </c>
      <c r="Y29" t="s">
        <v>224</v>
      </c>
      <c r="Z29" t="s">
        <v>225</v>
      </c>
      <c r="AC29" t="s">
        <v>226</v>
      </c>
      <c r="AG29" t="s">
        <v>227</v>
      </c>
    </row>
    <row r="30" spans="1:33" ht="409.6">
      <c r="A30" t="s">
        <v>399</v>
      </c>
      <c r="B30" s="2" t="s">
        <v>303</v>
      </c>
      <c r="C30" s="2" t="s">
        <v>304</v>
      </c>
      <c r="D30" s="2" t="s">
        <v>400</v>
      </c>
      <c r="E30" s="2" t="s">
        <v>401</v>
      </c>
      <c r="F30" t="s">
        <v>261</v>
      </c>
      <c r="G30" s="2" t="s">
        <v>286</v>
      </c>
      <c r="H30" s="17">
        <v>12</v>
      </c>
      <c r="I30">
        <v>0</v>
      </c>
      <c r="J30" s="17">
        <f>Problems[[#This Row],[Cross_Unit_ProblemRelevance_Count]]+Problems[[#This Row],[Pri signal, by voting (WS1, 8-26)]]</f>
        <v>12</v>
      </c>
      <c r="K30" s="17">
        <v>20</v>
      </c>
      <c r="L30" s="11" t="s">
        <v>158</v>
      </c>
      <c r="M30" s="11" t="s">
        <v>402</v>
      </c>
      <c r="N30" t="s">
        <v>220</v>
      </c>
      <c r="O30" t="s">
        <v>197</v>
      </c>
      <c r="P30" t="s">
        <v>279</v>
      </c>
      <c r="Q30" t="s">
        <v>221</v>
      </c>
      <c r="R30" t="s">
        <v>221</v>
      </c>
      <c r="S30" t="s">
        <v>294</v>
      </c>
      <c r="T30" t="s">
        <v>221</v>
      </c>
      <c r="U30" t="s">
        <v>279</v>
      </c>
      <c r="V30" t="s">
        <v>246</v>
      </c>
      <c r="W30" s="11" t="s">
        <v>403</v>
      </c>
      <c r="X30" t="s">
        <v>223</v>
      </c>
      <c r="Y30" t="s">
        <v>224</v>
      </c>
      <c r="Z30" t="s">
        <v>225</v>
      </c>
      <c r="AC30" t="s">
        <v>226</v>
      </c>
      <c r="AG30" t="s">
        <v>227</v>
      </c>
    </row>
    <row r="31" spans="1:33" ht="187.2">
      <c r="A31" t="s">
        <v>404</v>
      </c>
      <c r="B31" s="2" t="s">
        <v>297</v>
      </c>
      <c r="C31" s="2" t="s">
        <v>258</v>
      </c>
      <c r="D31" s="2" t="s">
        <v>405</v>
      </c>
      <c r="E31" s="2" t="s">
        <v>406</v>
      </c>
      <c r="F31" t="s">
        <v>407</v>
      </c>
      <c r="G31" s="2" t="s">
        <v>355</v>
      </c>
      <c r="H31" s="17">
        <v>11</v>
      </c>
      <c r="I31">
        <v>2</v>
      </c>
      <c r="J31" s="17">
        <f>Problems[[#This Row],[Cross_Unit_ProblemRelevance_Count]]+Problems[[#This Row],[Pri signal, by voting (WS1, 8-26)]]</f>
        <v>13</v>
      </c>
      <c r="K31" s="17">
        <v>0</v>
      </c>
      <c r="L31" s="11" t="s">
        <v>408</v>
      </c>
      <c r="M31" s="11" t="s">
        <v>158</v>
      </c>
      <c r="N31" t="s">
        <v>364</v>
      </c>
      <c r="O31" t="s">
        <v>199</v>
      </c>
      <c r="P31" t="s">
        <v>294</v>
      </c>
      <c r="Q31" t="s">
        <v>294</v>
      </c>
      <c r="R31" t="s">
        <v>294</v>
      </c>
      <c r="S31" t="s">
        <v>221</v>
      </c>
      <c r="T31" t="s">
        <v>221</v>
      </c>
      <c r="U31" t="s">
        <v>279</v>
      </c>
      <c r="V31" t="s">
        <v>246</v>
      </c>
      <c r="W31" s="11" t="s">
        <v>158</v>
      </c>
      <c r="X31" t="s">
        <v>223</v>
      </c>
      <c r="Y31" t="s">
        <v>224</v>
      </c>
      <c r="Z31" t="s">
        <v>225</v>
      </c>
      <c r="AC31" t="s">
        <v>226</v>
      </c>
      <c r="AG31" t="s">
        <v>227</v>
      </c>
    </row>
    <row r="32" spans="1:33" ht="144">
      <c r="A32" t="s">
        <v>409</v>
      </c>
      <c r="B32" s="2" t="s">
        <v>386</v>
      </c>
      <c r="C32" s="2" t="s">
        <v>343</v>
      </c>
      <c r="D32" s="2" t="s">
        <v>410</v>
      </c>
      <c r="E32" s="2" t="s">
        <v>411</v>
      </c>
      <c r="F32" t="s">
        <v>412</v>
      </c>
      <c r="G32" s="2" t="s">
        <v>332</v>
      </c>
      <c r="H32" s="17">
        <v>10</v>
      </c>
      <c r="I32">
        <v>1</v>
      </c>
      <c r="J32" s="17">
        <f>Problems[[#This Row],[Cross_Unit_ProblemRelevance_Count]]+Problems[[#This Row],[Pri signal, by voting (WS1, 8-26)]]</f>
        <v>11</v>
      </c>
      <c r="K32" s="17">
        <v>0</v>
      </c>
      <c r="L32" s="11" t="s">
        <v>158</v>
      </c>
      <c r="M32" s="11" t="s">
        <v>413</v>
      </c>
      <c r="N32" t="s">
        <v>414</v>
      </c>
      <c r="O32" t="s">
        <v>199</v>
      </c>
      <c r="P32" t="s">
        <v>246</v>
      </c>
      <c r="Q32" t="s">
        <v>246</v>
      </c>
      <c r="R32" t="s">
        <v>279</v>
      </c>
      <c r="S32" t="s">
        <v>294</v>
      </c>
      <c r="T32" t="s">
        <v>246</v>
      </c>
      <c r="U32" t="s">
        <v>279</v>
      </c>
      <c r="V32" t="s">
        <v>221</v>
      </c>
      <c r="W32" s="11" t="s">
        <v>415</v>
      </c>
      <c r="X32" t="s">
        <v>223</v>
      </c>
      <c r="Y32" t="s">
        <v>224</v>
      </c>
      <c r="Z32" t="s">
        <v>225</v>
      </c>
      <c r="AC32" t="s">
        <v>226</v>
      </c>
      <c r="AG32" t="s">
        <v>227</v>
      </c>
    </row>
    <row r="33" spans="7:23">
      <c r="G33" s="2"/>
      <c r="H33" s="40"/>
      <c r="I33" s="2"/>
      <c r="J33" s="40">
        <f>Problems[[#This Row],[Cross_Unit_ProblemRelevance_Count]]+Problems[[#This Row],[Pri signal, by voting (WS1, 8-26)]]</f>
        <v>0</v>
      </c>
      <c r="K33" s="40"/>
      <c r="L33" s="41"/>
      <c r="M33" s="41"/>
      <c r="W33" s="11"/>
    </row>
    <row r="42" spans="7:23">
      <c r="N42" t="s">
        <v>145</v>
      </c>
    </row>
  </sheetData>
  <mergeCells count="1">
    <mergeCell ref="A1:AG1"/>
  </mergeCells>
  <dataValidations count="3">
    <dataValidation type="list" allowBlank="1" showInputMessage="1" showErrorMessage="1" errorTitle="Use a controlled value" error="Select a value from the drop-down list." sqref="Y34:Y1021 AA6:AA33" xr:uid="{2EF8EF31-638D-4E6F-8EB8-3F1CFB63E946}">
      <formula1>CV_AIConfidence</formula1>
    </dataValidation>
    <dataValidation type="list" allowBlank="1" showInputMessage="1" showErrorMessage="1" errorTitle="Use a controlled value" error="Select a value from the drop-down list." sqref="AA34:AA1021 AC6:AC33" xr:uid="{BECA8AB3-9646-4BC0-914D-AB51F757CE3F}">
      <formula1>CV_ReviewStatus</formula1>
    </dataValidation>
    <dataValidation type="list" allowBlank="1" showInputMessage="1" showErrorMessage="1" errorTitle="Use a controlled value" error="Select a value from the drop-down list." sqref="X34:X1021 Z6:Z33" xr:uid="{E613F731-41EC-43F8-812D-80DE5E624932}">
      <formula1>CV_RecordOrigin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5F1FF-1A74-494B-81F1-1E2526E6EF5B}">
  <dimension ref="A1:AW38"/>
  <sheetViews>
    <sheetView workbookViewId="0">
      <selection activeCell="E40" sqref="E40"/>
    </sheetView>
  </sheetViews>
  <sheetFormatPr defaultRowHeight="14.4"/>
  <cols>
    <col min="1" max="1" width="14.33203125" customWidth="1"/>
    <col min="2" max="2" width="13.33203125" hidden="1" customWidth="1"/>
    <col min="3" max="3" width="18.44140625" customWidth="1"/>
    <col min="4" max="4" width="8.44140625" customWidth="1"/>
    <col min="5" max="5" width="61.109375" customWidth="1"/>
    <col min="6" max="6" width="14.5546875" customWidth="1"/>
    <col min="7" max="7" width="5.6640625" customWidth="1"/>
    <col min="8" max="8" width="18.109375" customWidth="1"/>
    <col min="9" max="9" width="13.33203125" customWidth="1"/>
    <col min="10" max="10" width="13.44140625" customWidth="1"/>
    <col min="11" max="11" width="12.44140625" customWidth="1"/>
    <col min="12" max="12" width="13" customWidth="1"/>
    <col min="13" max="13" width="11.44140625" customWidth="1"/>
    <col min="14" max="14" width="45" customWidth="1"/>
    <col min="15" max="15" width="27.5546875" customWidth="1"/>
    <col min="16" max="16" width="12.109375" customWidth="1"/>
    <col min="17" max="17" width="30.88671875" customWidth="1"/>
    <col min="18" max="18" width="59.5546875" customWidth="1"/>
    <col min="19" max="19" width="27.5546875" customWidth="1"/>
    <col min="20" max="20" width="18.109375" customWidth="1"/>
    <col min="21" max="21" width="34.33203125" customWidth="1"/>
    <col min="22" max="22" width="27.5546875" customWidth="1"/>
    <col min="23" max="23" width="34.33203125" customWidth="1"/>
    <col min="24" max="24" width="18.109375" customWidth="1"/>
    <col min="25" max="25" width="34.33203125" customWidth="1"/>
    <col min="26" max="26" width="18.109375" customWidth="1"/>
    <col min="27" max="27" width="34.33203125" customWidth="1"/>
    <col min="28" max="28" width="18.109375" customWidth="1"/>
    <col min="29" max="29" width="34.33203125" customWidth="1"/>
    <col min="30" max="30" width="18.109375" customWidth="1"/>
    <col min="31" max="31" width="27.5546875" customWidth="1"/>
    <col min="32" max="32" width="34.33203125" customWidth="1"/>
    <col min="33" max="33" width="27.5546875" customWidth="1"/>
    <col min="34" max="35" width="34.33203125" customWidth="1"/>
    <col min="36" max="37" width="18.109375" customWidth="1"/>
    <col min="38" max="38" width="34.33203125" customWidth="1"/>
    <col min="39" max="45" width="18.109375" customWidth="1"/>
    <col min="46" max="46" width="20" customWidth="1"/>
    <col min="47" max="47" width="34.33203125" customWidth="1"/>
    <col min="48" max="48" width="20" customWidth="1"/>
    <col min="49" max="49" width="24.6640625" customWidth="1"/>
  </cols>
  <sheetData>
    <row r="1" spans="1:49" ht="30" customHeight="1">
      <c r="A1" s="46" t="s">
        <v>416</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row>
    <row r="2" spans="1:49" ht="30" customHeight="1">
      <c r="A2" s="48" t="s">
        <v>52</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row>
    <row r="5" spans="1:49" ht="45" customHeight="1">
      <c r="A5" s="2" t="s">
        <v>417</v>
      </c>
      <c r="B5" s="2" t="s">
        <v>418</v>
      </c>
      <c r="C5" s="2" t="s">
        <v>419</v>
      </c>
      <c r="D5" s="2" t="s">
        <v>420</v>
      </c>
      <c r="E5" s="2" t="s">
        <v>421</v>
      </c>
      <c r="F5" s="2" t="s">
        <v>422</v>
      </c>
      <c r="G5" s="2" t="s">
        <v>423</v>
      </c>
      <c r="H5" s="2" t="s">
        <v>424</v>
      </c>
      <c r="I5" s="2" t="s">
        <v>425</v>
      </c>
      <c r="J5" s="2" t="s">
        <v>426</v>
      </c>
      <c r="K5" s="2" t="s">
        <v>427</v>
      </c>
      <c r="L5" s="2" t="s">
        <v>428</v>
      </c>
      <c r="M5" s="2" t="s">
        <v>429</v>
      </c>
      <c r="N5" s="2" t="s">
        <v>430</v>
      </c>
      <c r="O5" s="2" t="s">
        <v>431</v>
      </c>
      <c r="P5" s="2" t="s">
        <v>432</v>
      </c>
      <c r="Q5" s="2" t="s">
        <v>433</v>
      </c>
      <c r="R5" s="2" t="s">
        <v>184</v>
      </c>
      <c r="S5" s="2" t="s">
        <v>434</v>
      </c>
      <c r="T5" s="2" t="s">
        <v>435</v>
      </c>
      <c r="U5" s="2" t="s">
        <v>436</v>
      </c>
      <c r="V5" s="2" t="s">
        <v>437</v>
      </c>
      <c r="W5" s="2" t="s">
        <v>438</v>
      </c>
      <c r="X5" s="2" t="s">
        <v>439</v>
      </c>
      <c r="Y5" s="2" t="s">
        <v>440</v>
      </c>
      <c r="Z5" s="2" t="s">
        <v>441</v>
      </c>
      <c r="AA5" s="2" t="s">
        <v>442</v>
      </c>
      <c r="AB5" s="2" t="s">
        <v>443</v>
      </c>
      <c r="AC5" s="2" t="s">
        <v>444</v>
      </c>
      <c r="AD5" s="2" t="s">
        <v>445</v>
      </c>
      <c r="AE5" s="2" t="s">
        <v>446</v>
      </c>
      <c r="AF5" s="2" t="s">
        <v>447</v>
      </c>
      <c r="AG5" s="2" t="s">
        <v>448</v>
      </c>
      <c r="AH5" s="2" t="s">
        <v>449</v>
      </c>
      <c r="AI5" s="2" t="s">
        <v>450</v>
      </c>
      <c r="AJ5" s="2" t="s">
        <v>451</v>
      </c>
      <c r="AK5" s="2" t="s">
        <v>452</v>
      </c>
      <c r="AL5" s="2" t="s">
        <v>453</v>
      </c>
      <c r="AM5" s="2" t="s">
        <v>454</v>
      </c>
      <c r="AN5" s="2" t="s">
        <v>203</v>
      </c>
      <c r="AO5" s="2" t="s">
        <v>204</v>
      </c>
      <c r="AP5" s="2" t="s">
        <v>205</v>
      </c>
      <c r="AQ5" s="2" t="s">
        <v>206</v>
      </c>
      <c r="AR5" s="2" t="s">
        <v>207</v>
      </c>
      <c r="AS5" s="2" t="s">
        <v>26</v>
      </c>
      <c r="AT5" s="2" t="s">
        <v>208</v>
      </c>
      <c r="AU5" s="2" t="s">
        <v>209</v>
      </c>
      <c r="AV5" s="2" t="s">
        <v>15</v>
      </c>
      <c r="AW5" s="2" t="s">
        <v>210</v>
      </c>
    </row>
    <row r="6" spans="1:49">
      <c r="A6" t="s">
        <v>455</v>
      </c>
      <c r="B6" t="s">
        <v>456</v>
      </c>
      <c r="C6" t="s">
        <v>457</v>
      </c>
      <c r="D6" t="s">
        <v>458</v>
      </c>
      <c r="E6" t="s">
        <v>459</v>
      </c>
      <c r="F6" t="s">
        <v>460</v>
      </c>
      <c r="G6" t="s">
        <v>198</v>
      </c>
      <c r="H6" t="s">
        <v>461</v>
      </c>
      <c r="I6" t="s">
        <v>462</v>
      </c>
      <c r="J6" t="s">
        <v>463</v>
      </c>
      <c r="K6" t="s">
        <v>464</v>
      </c>
      <c r="L6" t="s">
        <v>462</v>
      </c>
      <c r="M6" t="s">
        <v>462</v>
      </c>
      <c r="N6" t="s">
        <v>465</v>
      </c>
      <c r="P6" s="17">
        <v>4</v>
      </c>
      <c r="Q6" t="s">
        <v>466</v>
      </c>
      <c r="R6" t="s">
        <v>467</v>
      </c>
      <c r="S6" t="s">
        <v>468</v>
      </c>
      <c r="T6" t="s">
        <v>469</v>
      </c>
      <c r="U6" t="s">
        <v>470</v>
      </c>
      <c r="V6" t="s">
        <v>471</v>
      </c>
      <c r="W6" t="s">
        <v>472</v>
      </c>
      <c r="X6" t="s">
        <v>473</v>
      </c>
      <c r="Y6" t="s">
        <v>474</v>
      </c>
      <c r="Z6" t="s">
        <v>475</v>
      </c>
      <c r="AA6" t="s">
        <v>476</v>
      </c>
      <c r="AB6" t="s">
        <v>477</v>
      </c>
      <c r="AC6" t="s">
        <v>478</v>
      </c>
      <c r="AD6" t="s">
        <v>479</v>
      </c>
      <c r="AE6" t="s">
        <v>480</v>
      </c>
      <c r="AF6" t="s">
        <v>481</v>
      </c>
      <c r="AG6" t="s">
        <v>482</v>
      </c>
      <c r="AI6" t="s">
        <v>483</v>
      </c>
      <c r="AJ6" t="s">
        <v>484</v>
      </c>
      <c r="AK6" t="s">
        <v>485</v>
      </c>
      <c r="AL6" t="s">
        <v>486</v>
      </c>
      <c r="AN6" t="s">
        <v>487</v>
      </c>
      <c r="AO6" t="s">
        <v>488</v>
      </c>
      <c r="AP6" t="s">
        <v>225</v>
      </c>
      <c r="AS6" t="s">
        <v>226</v>
      </c>
      <c r="AW6" t="s">
        <v>489</v>
      </c>
    </row>
    <row r="7" spans="1:49">
      <c r="A7" t="s">
        <v>490</v>
      </c>
      <c r="B7" t="s">
        <v>491</v>
      </c>
      <c r="C7" t="s">
        <v>457</v>
      </c>
      <c r="D7" t="s">
        <v>458</v>
      </c>
      <c r="E7" t="s">
        <v>492</v>
      </c>
      <c r="F7" t="s">
        <v>460</v>
      </c>
      <c r="G7" t="s">
        <v>198</v>
      </c>
      <c r="H7" t="s">
        <v>493</v>
      </c>
      <c r="I7" t="s">
        <v>462</v>
      </c>
      <c r="J7" t="s">
        <v>462</v>
      </c>
      <c r="K7" t="s">
        <v>464</v>
      </c>
      <c r="L7" t="s">
        <v>462</v>
      </c>
      <c r="M7" t="s">
        <v>462</v>
      </c>
      <c r="N7" t="s">
        <v>494</v>
      </c>
      <c r="O7" t="s">
        <v>495</v>
      </c>
      <c r="P7" s="17">
        <v>5</v>
      </c>
      <c r="Q7" t="s">
        <v>466</v>
      </c>
      <c r="R7" t="s">
        <v>496</v>
      </c>
      <c r="S7" t="s">
        <v>497</v>
      </c>
      <c r="T7" t="s">
        <v>498</v>
      </c>
      <c r="U7" t="s">
        <v>499</v>
      </c>
      <c r="V7" t="s">
        <v>471</v>
      </c>
      <c r="W7" t="s">
        <v>500</v>
      </c>
      <c r="X7" t="s">
        <v>501</v>
      </c>
      <c r="Y7" t="s">
        <v>502</v>
      </c>
      <c r="Z7" t="s">
        <v>475</v>
      </c>
      <c r="AA7" t="s">
        <v>503</v>
      </c>
      <c r="AB7" t="s">
        <v>477</v>
      </c>
      <c r="AC7" t="s">
        <v>504</v>
      </c>
      <c r="AD7" t="s">
        <v>505</v>
      </c>
      <c r="AE7" t="s">
        <v>506</v>
      </c>
      <c r="AF7" t="s">
        <v>507</v>
      </c>
      <c r="AG7" t="s">
        <v>508</v>
      </c>
      <c r="AI7" t="s">
        <v>509</v>
      </c>
      <c r="AJ7" t="s">
        <v>484</v>
      </c>
      <c r="AK7" t="s">
        <v>510</v>
      </c>
      <c r="AL7" t="s">
        <v>511</v>
      </c>
      <c r="AN7" t="s">
        <v>487</v>
      </c>
      <c r="AO7" t="s">
        <v>488</v>
      </c>
      <c r="AP7" t="s">
        <v>225</v>
      </c>
      <c r="AS7" t="s">
        <v>226</v>
      </c>
      <c r="AW7" t="s">
        <v>489</v>
      </c>
    </row>
    <row r="8" spans="1:49">
      <c r="A8" t="s">
        <v>512</v>
      </c>
      <c r="B8" t="s">
        <v>513</v>
      </c>
      <c r="C8" t="s">
        <v>514</v>
      </c>
      <c r="D8" t="s">
        <v>458</v>
      </c>
      <c r="E8" t="s">
        <v>515</v>
      </c>
      <c r="F8" t="s">
        <v>460</v>
      </c>
      <c r="G8" t="s">
        <v>198</v>
      </c>
      <c r="H8" t="s">
        <v>516</v>
      </c>
      <c r="I8" t="s">
        <v>462</v>
      </c>
      <c r="J8" t="s">
        <v>462</v>
      </c>
      <c r="K8" t="s">
        <v>464</v>
      </c>
      <c r="L8" t="s">
        <v>462</v>
      </c>
      <c r="M8" t="s">
        <v>462</v>
      </c>
      <c r="N8" t="s">
        <v>517</v>
      </c>
      <c r="O8" t="s">
        <v>518</v>
      </c>
      <c r="P8" s="17">
        <v>5</v>
      </c>
      <c r="Q8" t="s">
        <v>519</v>
      </c>
      <c r="R8" t="s">
        <v>520</v>
      </c>
      <c r="S8" t="s">
        <v>521</v>
      </c>
      <c r="T8" t="s">
        <v>522</v>
      </c>
      <c r="U8" t="s">
        <v>523</v>
      </c>
      <c r="V8" t="s">
        <v>471</v>
      </c>
      <c r="W8" t="s">
        <v>524</v>
      </c>
      <c r="X8" t="s">
        <v>501</v>
      </c>
      <c r="Y8" t="s">
        <v>525</v>
      </c>
      <c r="Z8" t="s">
        <v>475</v>
      </c>
      <c r="AA8" t="s">
        <v>526</v>
      </c>
      <c r="AB8" t="s">
        <v>477</v>
      </c>
      <c r="AC8" t="s">
        <v>527</v>
      </c>
      <c r="AD8" t="s">
        <v>528</v>
      </c>
      <c r="AE8" t="s">
        <v>480</v>
      </c>
      <c r="AF8" t="s">
        <v>529</v>
      </c>
      <c r="AG8" t="s">
        <v>508</v>
      </c>
      <c r="AI8" t="s">
        <v>530</v>
      </c>
      <c r="AJ8" t="s">
        <v>484</v>
      </c>
      <c r="AK8" t="s">
        <v>531</v>
      </c>
      <c r="AL8" t="s">
        <v>532</v>
      </c>
      <c r="AN8" t="s">
        <v>487</v>
      </c>
      <c r="AO8" t="s">
        <v>488</v>
      </c>
      <c r="AP8" t="s">
        <v>225</v>
      </c>
      <c r="AS8" t="s">
        <v>226</v>
      </c>
      <c r="AW8" t="s">
        <v>489</v>
      </c>
    </row>
    <row r="9" spans="1:49">
      <c r="A9" t="s">
        <v>533</v>
      </c>
      <c r="B9" t="s">
        <v>534</v>
      </c>
      <c r="C9" t="s">
        <v>514</v>
      </c>
      <c r="D9" t="s">
        <v>458</v>
      </c>
      <c r="E9" t="s">
        <v>535</v>
      </c>
      <c r="F9" t="s">
        <v>460</v>
      </c>
      <c r="G9" t="s">
        <v>198</v>
      </c>
      <c r="H9" t="s">
        <v>536</v>
      </c>
      <c r="I9" t="s">
        <v>462</v>
      </c>
      <c r="J9" t="s">
        <v>462</v>
      </c>
      <c r="K9" t="s">
        <v>464</v>
      </c>
      <c r="L9" t="s">
        <v>537</v>
      </c>
      <c r="M9" t="s">
        <v>537</v>
      </c>
      <c r="N9" t="s">
        <v>538</v>
      </c>
      <c r="P9" s="17">
        <v>3</v>
      </c>
      <c r="Q9" t="s">
        <v>539</v>
      </c>
      <c r="R9" t="s">
        <v>540</v>
      </c>
      <c r="S9" t="s">
        <v>541</v>
      </c>
      <c r="T9" t="s">
        <v>542</v>
      </c>
      <c r="U9" t="s">
        <v>543</v>
      </c>
      <c r="V9" t="s">
        <v>544</v>
      </c>
      <c r="W9" t="s">
        <v>545</v>
      </c>
      <c r="X9" t="s">
        <v>546</v>
      </c>
      <c r="Y9" t="s">
        <v>547</v>
      </c>
      <c r="Z9" t="s">
        <v>548</v>
      </c>
      <c r="AA9" t="s">
        <v>549</v>
      </c>
      <c r="AB9" t="s">
        <v>477</v>
      </c>
      <c r="AC9" t="s">
        <v>550</v>
      </c>
      <c r="AD9" t="s">
        <v>551</v>
      </c>
      <c r="AE9" t="s">
        <v>552</v>
      </c>
      <c r="AF9" t="s">
        <v>553</v>
      </c>
      <c r="AG9" t="s">
        <v>508</v>
      </c>
      <c r="AI9" t="s">
        <v>554</v>
      </c>
      <c r="AJ9" t="s">
        <v>484</v>
      </c>
      <c r="AK9" t="s">
        <v>531</v>
      </c>
      <c r="AL9" t="s">
        <v>555</v>
      </c>
      <c r="AN9" t="s">
        <v>487</v>
      </c>
      <c r="AO9" t="s">
        <v>488</v>
      </c>
      <c r="AP9" t="s">
        <v>225</v>
      </c>
      <c r="AS9" t="s">
        <v>226</v>
      </c>
      <c r="AW9" t="s">
        <v>489</v>
      </c>
    </row>
    <row r="10" spans="1:49">
      <c r="A10" t="s">
        <v>556</v>
      </c>
      <c r="B10" t="s">
        <v>557</v>
      </c>
      <c r="C10" t="s">
        <v>558</v>
      </c>
      <c r="D10" t="s">
        <v>559</v>
      </c>
      <c r="E10" t="s">
        <v>560</v>
      </c>
      <c r="F10" t="s">
        <v>460</v>
      </c>
      <c r="G10" t="s">
        <v>198</v>
      </c>
      <c r="H10" t="s">
        <v>561</v>
      </c>
      <c r="I10" t="s">
        <v>462</v>
      </c>
      <c r="J10" t="s">
        <v>537</v>
      </c>
      <c r="K10" t="s">
        <v>464</v>
      </c>
      <c r="L10" t="s">
        <v>462</v>
      </c>
      <c r="M10" t="s">
        <v>462</v>
      </c>
      <c r="N10" t="s">
        <v>562</v>
      </c>
      <c r="O10" t="s">
        <v>563</v>
      </c>
      <c r="P10" s="17">
        <v>7</v>
      </c>
      <c r="Q10" t="s">
        <v>466</v>
      </c>
      <c r="R10" t="s">
        <v>564</v>
      </c>
      <c r="S10" t="s">
        <v>565</v>
      </c>
      <c r="T10" t="s">
        <v>498</v>
      </c>
      <c r="U10" t="s">
        <v>566</v>
      </c>
      <c r="V10" t="s">
        <v>544</v>
      </c>
      <c r="W10" t="s">
        <v>567</v>
      </c>
      <c r="X10" t="s">
        <v>546</v>
      </c>
      <c r="Y10" t="s">
        <v>568</v>
      </c>
      <c r="Z10" t="s">
        <v>548</v>
      </c>
      <c r="AA10" t="s">
        <v>569</v>
      </c>
      <c r="AB10" t="s">
        <v>477</v>
      </c>
      <c r="AC10" t="s">
        <v>570</v>
      </c>
      <c r="AD10" t="s">
        <v>505</v>
      </c>
      <c r="AE10" t="s">
        <v>571</v>
      </c>
      <c r="AF10" t="s">
        <v>572</v>
      </c>
      <c r="AG10" t="s">
        <v>508</v>
      </c>
      <c r="AI10" t="s">
        <v>573</v>
      </c>
      <c r="AJ10" t="s">
        <v>484</v>
      </c>
      <c r="AK10" t="s">
        <v>510</v>
      </c>
      <c r="AL10" t="s">
        <v>574</v>
      </c>
      <c r="AN10" t="s">
        <v>487</v>
      </c>
      <c r="AO10" t="s">
        <v>488</v>
      </c>
      <c r="AP10" t="s">
        <v>225</v>
      </c>
      <c r="AS10" t="s">
        <v>226</v>
      </c>
      <c r="AW10" t="s">
        <v>489</v>
      </c>
    </row>
    <row r="11" spans="1:49">
      <c r="A11" t="s">
        <v>575</v>
      </c>
      <c r="B11" t="s">
        <v>576</v>
      </c>
      <c r="C11" t="s">
        <v>558</v>
      </c>
      <c r="D11" t="s">
        <v>458</v>
      </c>
      <c r="E11" t="s">
        <v>577</v>
      </c>
      <c r="F11" t="s">
        <v>460</v>
      </c>
      <c r="G11" t="s">
        <v>198</v>
      </c>
      <c r="H11" t="s">
        <v>578</v>
      </c>
      <c r="I11" t="s">
        <v>579</v>
      </c>
      <c r="J11" t="s">
        <v>579</v>
      </c>
      <c r="K11" t="s">
        <v>464</v>
      </c>
      <c r="L11" t="s">
        <v>462</v>
      </c>
      <c r="M11" t="s">
        <v>537</v>
      </c>
      <c r="N11" t="s">
        <v>580</v>
      </c>
      <c r="O11" t="s">
        <v>581</v>
      </c>
      <c r="P11" s="17">
        <v>5</v>
      </c>
      <c r="Q11" t="s">
        <v>582</v>
      </c>
      <c r="R11" t="s">
        <v>583</v>
      </c>
      <c r="S11" t="s">
        <v>584</v>
      </c>
      <c r="T11" t="s">
        <v>585</v>
      </c>
      <c r="U11" t="s">
        <v>586</v>
      </c>
      <c r="W11" t="s">
        <v>587</v>
      </c>
      <c r="X11" t="s">
        <v>588</v>
      </c>
      <c r="Y11" t="s">
        <v>589</v>
      </c>
      <c r="AB11" t="s">
        <v>590</v>
      </c>
      <c r="AC11" t="s">
        <v>591</v>
      </c>
      <c r="AD11" t="s">
        <v>592</v>
      </c>
      <c r="AE11" t="s">
        <v>593</v>
      </c>
      <c r="AF11" t="s">
        <v>594</v>
      </c>
      <c r="AI11" t="s">
        <v>595</v>
      </c>
      <c r="AJ11" t="s">
        <v>484</v>
      </c>
      <c r="AK11" t="s">
        <v>510</v>
      </c>
      <c r="AL11" t="s">
        <v>596</v>
      </c>
      <c r="AN11" t="s">
        <v>487</v>
      </c>
      <c r="AO11" t="s">
        <v>488</v>
      </c>
      <c r="AP11" t="s">
        <v>225</v>
      </c>
      <c r="AS11" t="s">
        <v>226</v>
      </c>
      <c r="AW11" t="s">
        <v>489</v>
      </c>
    </row>
    <row r="12" spans="1:49">
      <c r="A12" t="s">
        <v>597</v>
      </c>
      <c r="B12" t="s">
        <v>598</v>
      </c>
      <c r="C12" t="s">
        <v>457</v>
      </c>
      <c r="E12" t="s">
        <v>599</v>
      </c>
      <c r="F12" t="s">
        <v>600</v>
      </c>
      <c r="G12" t="s">
        <v>197</v>
      </c>
      <c r="H12" t="s">
        <v>601</v>
      </c>
      <c r="I12" t="s">
        <v>462</v>
      </c>
      <c r="J12" t="s">
        <v>537</v>
      </c>
      <c r="K12" t="s">
        <v>602</v>
      </c>
      <c r="L12" t="s">
        <v>462</v>
      </c>
      <c r="M12" t="s">
        <v>537</v>
      </c>
      <c r="N12" t="s">
        <v>603</v>
      </c>
      <c r="O12" t="s">
        <v>604</v>
      </c>
      <c r="P12" s="17">
        <v>9</v>
      </c>
      <c r="Q12" t="s">
        <v>605</v>
      </c>
      <c r="R12" t="s">
        <v>606</v>
      </c>
      <c r="S12" t="s">
        <v>607</v>
      </c>
      <c r="T12" t="s">
        <v>608</v>
      </c>
      <c r="U12" t="s">
        <v>609</v>
      </c>
      <c r="V12" t="s">
        <v>471</v>
      </c>
      <c r="W12" t="s">
        <v>610</v>
      </c>
      <c r="X12" t="s">
        <v>546</v>
      </c>
      <c r="Y12" t="s">
        <v>611</v>
      </c>
      <c r="AB12" t="s">
        <v>590</v>
      </c>
      <c r="AC12" t="s">
        <v>612</v>
      </c>
      <c r="AD12" t="s">
        <v>505</v>
      </c>
      <c r="AE12" t="s">
        <v>613</v>
      </c>
      <c r="AF12" t="s">
        <v>614</v>
      </c>
      <c r="AG12" t="s">
        <v>615</v>
      </c>
      <c r="AH12" t="s">
        <v>616</v>
      </c>
      <c r="AI12" t="s">
        <v>617</v>
      </c>
      <c r="AK12" t="s">
        <v>618</v>
      </c>
      <c r="AL12" t="s">
        <v>619</v>
      </c>
      <c r="AN12" t="s">
        <v>487</v>
      </c>
      <c r="AO12" t="s">
        <v>488</v>
      </c>
      <c r="AP12" t="s">
        <v>225</v>
      </c>
      <c r="AS12" t="s">
        <v>226</v>
      </c>
      <c r="AW12" t="s">
        <v>489</v>
      </c>
    </row>
    <row r="13" spans="1:49">
      <c r="A13" t="s">
        <v>620</v>
      </c>
      <c r="B13" t="s">
        <v>621</v>
      </c>
      <c r="C13" t="s">
        <v>514</v>
      </c>
      <c r="E13" t="s">
        <v>622</v>
      </c>
      <c r="F13" t="s">
        <v>600</v>
      </c>
      <c r="G13" t="s">
        <v>197</v>
      </c>
      <c r="H13" t="s">
        <v>623</v>
      </c>
      <c r="I13" t="s">
        <v>537</v>
      </c>
      <c r="J13" t="s">
        <v>537</v>
      </c>
      <c r="K13" t="s">
        <v>602</v>
      </c>
      <c r="L13" t="s">
        <v>537</v>
      </c>
      <c r="M13" t="s">
        <v>537</v>
      </c>
      <c r="N13" t="s">
        <v>603</v>
      </c>
      <c r="O13" t="s">
        <v>624</v>
      </c>
      <c r="P13" s="17">
        <v>9</v>
      </c>
      <c r="Q13" t="s">
        <v>539</v>
      </c>
      <c r="R13" t="s">
        <v>625</v>
      </c>
      <c r="S13" t="s">
        <v>626</v>
      </c>
      <c r="T13" t="s">
        <v>542</v>
      </c>
      <c r="U13" t="s">
        <v>627</v>
      </c>
      <c r="V13" t="s">
        <v>544</v>
      </c>
      <c r="W13" t="s">
        <v>628</v>
      </c>
      <c r="X13" t="s">
        <v>546</v>
      </c>
      <c r="Y13" t="s">
        <v>629</v>
      </c>
      <c r="Z13" t="s">
        <v>548</v>
      </c>
      <c r="AA13" t="s">
        <v>630</v>
      </c>
      <c r="AB13" t="s">
        <v>590</v>
      </c>
      <c r="AC13" t="s">
        <v>631</v>
      </c>
      <c r="AD13" t="s">
        <v>551</v>
      </c>
      <c r="AE13" t="s">
        <v>632</v>
      </c>
      <c r="AF13" t="s">
        <v>633</v>
      </c>
      <c r="AG13" t="s">
        <v>508</v>
      </c>
      <c r="AI13" t="s">
        <v>634</v>
      </c>
      <c r="AK13" t="s">
        <v>531</v>
      </c>
      <c r="AL13" t="s">
        <v>635</v>
      </c>
      <c r="AN13" t="s">
        <v>487</v>
      </c>
      <c r="AO13" t="s">
        <v>488</v>
      </c>
      <c r="AP13" t="s">
        <v>225</v>
      </c>
      <c r="AS13" t="s">
        <v>226</v>
      </c>
      <c r="AW13" t="s">
        <v>489</v>
      </c>
    </row>
    <row r="14" spans="1:49">
      <c r="A14" t="s">
        <v>636</v>
      </c>
      <c r="B14" t="s">
        <v>637</v>
      </c>
      <c r="C14" t="s">
        <v>514</v>
      </c>
      <c r="E14" t="s">
        <v>638</v>
      </c>
      <c r="F14" t="s">
        <v>600</v>
      </c>
      <c r="G14" t="s">
        <v>197</v>
      </c>
      <c r="H14" t="s">
        <v>639</v>
      </c>
      <c r="I14" t="s">
        <v>579</v>
      </c>
      <c r="J14" t="s">
        <v>579</v>
      </c>
      <c r="K14" t="s">
        <v>602</v>
      </c>
      <c r="L14" t="s">
        <v>462</v>
      </c>
      <c r="M14" t="s">
        <v>579</v>
      </c>
      <c r="N14" t="s">
        <v>640</v>
      </c>
      <c r="O14" t="s">
        <v>641</v>
      </c>
      <c r="P14" s="17">
        <v>6</v>
      </c>
      <c r="Q14" t="s">
        <v>605</v>
      </c>
      <c r="R14" t="s">
        <v>642</v>
      </c>
      <c r="S14" t="s">
        <v>643</v>
      </c>
      <c r="T14" t="s">
        <v>644</v>
      </c>
      <c r="U14" t="s">
        <v>645</v>
      </c>
      <c r="V14" t="s">
        <v>646</v>
      </c>
      <c r="W14" t="s">
        <v>647</v>
      </c>
      <c r="X14" t="s">
        <v>588</v>
      </c>
      <c r="Y14" t="s">
        <v>648</v>
      </c>
      <c r="Z14" t="s">
        <v>548</v>
      </c>
      <c r="AA14" t="s">
        <v>649</v>
      </c>
      <c r="AB14" t="s">
        <v>590</v>
      </c>
      <c r="AC14" t="s">
        <v>650</v>
      </c>
      <c r="AD14" t="s">
        <v>651</v>
      </c>
      <c r="AE14" t="s">
        <v>652</v>
      </c>
      <c r="AF14" t="s">
        <v>653</v>
      </c>
      <c r="AI14" t="s">
        <v>654</v>
      </c>
      <c r="AK14" t="s">
        <v>655</v>
      </c>
      <c r="AL14" t="s">
        <v>656</v>
      </c>
      <c r="AN14" t="s">
        <v>487</v>
      </c>
      <c r="AO14" t="s">
        <v>488</v>
      </c>
      <c r="AP14" t="s">
        <v>225</v>
      </c>
      <c r="AS14" t="s">
        <v>226</v>
      </c>
      <c r="AW14" t="s">
        <v>489</v>
      </c>
    </row>
    <row r="15" spans="1:49">
      <c r="A15" t="s">
        <v>657</v>
      </c>
      <c r="B15" t="s">
        <v>658</v>
      </c>
      <c r="C15" t="s">
        <v>514</v>
      </c>
      <c r="E15" t="s">
        <v>659</v>
      </c>
      <c r="F15" t="s">
        <v>600</v>
      </c>
      <c r="G15" t="s">
        <v>197</v>
      </c>
      <c r="H15" t="s">
        <v>660</v>
      </c>
      <c r="I15" t="s">
        <v>579</v>
      </c>
      <c r="J15" t="s">
        <v>579</v>
      </c>
      <c r="K15" t="s">
        <v>602</v>
      </c>
      <c r="L15" t="s">
        <v>462</v>
      </c>
      <c r="M15" t="s">
        <v>579</v>
      </c>
      <c r="N15" t="s">
        <v>661</v>
      </c>
      <c r="P15" s="17">
        <v>5</v>
      </c>
      <c r="Q15" t="s">
        <v>662</v>
      </c>
      <c r="R15" t="s">
        <v>663</v>
      </c>
      <c r="S15" t="s">
        <v>664</v>
      </c>
      <c r="T15" t="s">
        <v>608</v>
      </c>
      <c r="U15" t="s">
        <v>665</v>
      </c>
      <c r="V15" t="s">
        <v>666</v>
      </c>
      <c r="W15" t="s">
        <v>667</v>
      </c>
      <c r="X15" t="s">
        <v>588</v>
      </c>
      <c r="Y15" t="s">
        <v>668</v>
      </c>
      <c r="Z15" t="s">
        <v>548</v>
      </c>
      <c r="AA15" t="s">
        <v>669</v>
      </c>
      <c r="AB15" t="s">
        <v>590</v>
      </c>
      <c r="AC15" t="s">
        <v>670</v>
      </c>
      <c r="AD15" t="s">
        <v>551</v>
      </c>
      <c r="AE15" t="s">
        <v>671</v>
      </c>
      <c r="AF15" t="s">
        <v>672</v>
      </c>
      <c r="AG15" t="s">
        <v>615</v>
      </c>
      <c r="AH15" t="s">
        <v>673</v>
      </c>
      <c r="AI15" t="s">
        <v>674</v>
      </c>
      <c r="AJ15" t="s">
        <v>675</v>
      </c>
      <c r="AK15" t="s">
        <v>676</v>
      </c>
      <c r="AL15" t="s">
        <v>677</v>
      </c>
      <c r="AN15" t="s">
        <v>487</v>
      </c>
      <c r="AO15" t="s">
        <v>488</v>
      </c>
      <c r="AP15" t="s">
        <v>225</v>
      </c>
      <c r="AS15" t="s">
        <v>226</v>
      </c>
      <c r="AW15" t="s">
        <v>489</v>
      </c>
    </row>
    <row r="16" spans="1:49">
      <c r="A16" t="s">
        <v>678</v>
      </c>
      <c r="B16" t="s">
        <v>679</v>
      </c>
      <c r="C16" t="s">
        <v>558</v>
      </c>
      <c r="E16" t="s">
        <v>680</v>
      </c>
      <c r="F16" t="s">
        <v>600</v>
      </c>
      <c r="G16" t="s">
        <v>197</v>
      </c>
      <c r="H16" t="s">
        <v>681</v>
      </c>
      <c r="I16" t="s">
        <v>579</v>
      </c>
      <c r="J16" t="s">
        <v>537</v>
      </c>
      <c r="K16" t="s">
        <v>464</v>
      </c>
      <c r="L16" t="s">
        <v>462</v>
      </c>
      <c r="M16" t="s">
        <v>462</v>
      </c>
      <c r="N16" t="s">
        <v>682</v>
      </c>
      <c r="P16" s="17">
        <v>4</v>
      </c>
      <c r="Q16" t="s">
        <v>582</v>
      </c>
      <c r="R16" t="s">
        <v>683</v>
      </c>
      <c r="S16" t="s">
        <v>684</v>
      </c>
      <c r="T16" t="s">
        <v>685</v>
      </c>
      <c r="U16" t="s">
        <v>686</v>
      </c>
      <c r="W16" t="s">
        <v>687</v>
      </c>
      <c r="X16" t="s">
        <v>546</v>
      </c>
      <c r="Y16" t="s">
        <v>688</v>
      </c>
      <c r="Z16" t="s">
        <v>548</v>
      </c>
      <c r="AA16" t="s">
        <v>689</v>
      </c>
      <c r="AB16" t="s">
        <v>477</v>
      </c>
      <c r="AC16" t="s">
        <v>690</v>
      </c>
      <c r="AD16" t="s">
        <v>505</v>
      </c>
      <c r="AE16" t="s">
        <v>691</v>
      </c>
      <c r="AF16" t="s">
        <v>692</v>
      </c>
      <c r="AG16" t="s">
        <v>508</v>
      </c>
      <c r="AI16" t="s">
        <v>693</v>
      </c>
      <c r="AJ16" t="s">
        <v>484</v>
      </c>
      <c r="AK16" t="s">
        <v>510</v>
      </c>
      <c r="AL16" t="s">
        <v>694</v>
      </c>
      <c r="AN16" t="s">
        <v>487</v>
      </c>
      <c r="AO16" t="s">
        <v>488</v>
      </c>
      <c r="AP16" t="s">
        <v>225</v>
      </c>
      <c r="AS16" t="s">
        <v>226</v>
      </c>
      <c r="AW16" t="s">
        <v>489</v>
      </c>
    </row>
    <row r="17" spans="1:49">
      <c r="A17" t="s">
        <v>695</v>
      </c>
      <c r="B17" t="s">
        <v>696</v>
      </c>
      <c r="C17" t="s">
        <v>457</v>
      </c>
      <c r="E17" t="s">
        <v>697</v>
      </c>
      <c r="F17" t="s">
        <v>600</v>
      </c>
      <c r="G17" t="s">
        <v>197</v>
      </c>
      <c r="H17" t="s">
        <v>698</v>
      </c>
      <c r="I17" t="s">
        <v>579</v>
      </c>
      <c r="J17" t="s">
        <v>537</v>
      </c>
      <c r="K17" t="s">
        <v>464</v>
      </c>
      <c r="L17" t="s">
        <v>462</v>
      </c>
      <c r="M17" t="s">
        <v>537</v>
      </c>
      <c r="N17" t="s">
        <v>494</v>
      </c>
      <c r="O17" t="s">
        <v>699</v>
      </c>
      <c r="P17" s="17">
        <v>6</v>
      </c>
      <c r="Q17" t="s">
        <v>582</v>
      </c>
      <c r="R17" t="s">
        <v>700</v>
      </c>
      <c r="S17" t="s">
        <v>701</v>
      </c>
      <c r="T17" t="s">
        <v>702</v>
      </c>
      <c r="U17" t="s">
        <v>703</v>
      </c>
      <c r="W17" t="s">
        <v>704</v>
      </c>
      <c r="X17" t="s">
        <v>546</v>
      </c>
      <c r="Y17" t="s">
        <v>705</v>
      </c>
      <c r="Z17" t="s">
        <v>548</v>
      </c>
      <c r="AA17" t="s">
        <v>706</v>
      </c>
      <c r="AB17" t="s">
        <v>590</v>
      </c>
      <c r="AC17" t="s">
        <v>707</v>
      </c>
      <c r="AD17" t="s">
        <v>479</v>
      </c>
      <c r="AE17" t="s">
        <v>708</v>
      </c>
      <c r="AF17" t="s">
        <v>709</v>
      </c>
      <c r="AI17" t="s">
        <v>710</v>
      </c>
      <c r="AJ17" t="s">
        <v>484</v>
      </c>
      <c r="AK17" t="s">
        <v>711</v>
      </c>
      <c r="AL17" t="s">
        <v>712</v>
      </c>
      <c r="AN17" t="s">
        <v>487</v>
      </c>
      <c r="AO17" t="s">
        <v>488</v>
      </c>
      <c r="AP17" t="s">
        <v>225</v>
      </c>
      <c r="AS17" t="s">
        <v>226</v>
      </c>
      <c r="AW17" t="s">
        <v>489</v>
      </c>
    </row>
    <row r="18" spans="1:49">
      <c r="A18" t="s">
        <v>713</v>
      </c>
      <c r="B18" t="s">
        <v>714</v>
      </c>
      <c r="C18" t="s">
        <v>514</v>
      </c>
      <c r="E18" t="s">
        <v>715</v>
      </c>
      <c r="F18" t="s">
        <v>716</v>
      </c>
      <c r="G18" t="s">
        <v>195</v>
      </c>
      <c r="H18" t="s">
        <v>717</v>
      </c>
      <c r="I18" t="s">
        <v>462</v>
      </c>
      <c r="J18" t="s">
        <v>537</v>
      </c>
      <c r="K18" t="s">
        <v>602</v>
      </c>
      <c r="L18" t="s">
        <v>462</v>
      </c>
      <c r="M18" t="s">
        <v>462</v>
      </c>
      <c r="N18" t="s">
        <v>603</v>
      </c>
      <c r="O18" t="s">
        <v>718</v>
      </c>
      <c r="P18" s="17">
        <v>10</v>
      </c>
      <c r="Q18" t="s">
        <v>719</v>
      </c>
      <c r="R18" t="s">
        <v>720</v>
      </c>
      <c r="S18" t="s">
        <v>721</v>
      </c>
      <c r="T18" t="s">
        <v>722</v>
      </c>
      <c r="U18" t="s">
        <v>723</v>
      </c>
      <c r="V18" t="s">
        <v>471</v>
      </c>
      <c r="W18" t="s">
        <v>724</v>
      </c>
      <c r="X18" t="s">
        <v>588</v>
      </c>
      <c r="Y18" t="s">
        <v>725</v>
      </c>
      <c r="Z18" t="s">
        <v>548</v>
      </c>
      <c r="AA18" t="s">
        <v>726</v>
      </c>
      <c r="AB18" t="s">
        <v>477</v>
      </c>
      <c r="AC18" t="s">
        <v>727</v>
      </c>
      <c r="AD18" t="s">
        <v>728</v>
      </c>
      <c r="AE18" t="s">
        <v>729</v>
      </c>
      <c r="AF18" t="s">
        <v>730</v>
      </c>
      <c r="AG18" t="s">
        <v>615</v>
      </c>
      <c r="AH18" t="s">
        <v>731</v>
      </c>
      <c r="AI18" t="s">
        <v>732</v>
      </c>
      <c r="AJ18" t="s">
        <v>484</v>
      </c>
      <c r="AK18" t="s">
        <v>733</v>
      </c>
      <c r="AL18" t="s">
        <v>734</v>
      </c>
      <c r="AM18" t="s">
        <v>735</v>
      </c>
      <c r="AN18" t="s">
        <v>487</v>
      </c>
      <c r="AO18" t="s">
        <v>488</v>
      </c>
      <c r="AP18" t="s">
        <v>225</v>
      </c>
      <c r="AS18" t="s">
        <v>226</v>
      </c>
      <c r="AW18" t="s">
        <v>489</v>
      </c>
    </row>
    <row r="19" spans="1:49">
      <c r="A19" t="s">
        <v>736</v>
      </c>
      <c r="B19" t="s">
        <v>737</v>
      </c>
      <c r="C19" t="s">
        <v>514</v>
      </c>
      <c r="E19" t="s">
        <v>738</v>
      </c>
      <c r="F19" t="s">
        <v>716</v>
      </c>
      <c r="G19" t="s">
        <v>195</v>
      </c>
      <c r="H19" t="s">
        <v>739</v>
      </c>
      <c r="I19" t="s">
        <v>579</v>
      </c>
      <c r="J19" t="s">
        <v>537</v>
      </c>
      <c r="K19" t="s">
        <v>602</v>
      </c>
      <c r="L19" t="s">
        <v>462</v>
      </c>
      <c r="M19" t="s">
        <v>462</v>
      </c>
      <c r="N19" t="s">
        <v>517</v>
      </c>
      <c r="O19" t="s">
        <v>740</v>
      </c>
      <c r="P19" s="17">
        <v>6</v>
      </c>
      <c r="Q19" t="s">
        <v>741</v>
      </c>
      <c r="R19" t="s">
        <v>742</v>
      </c>
      <c r="S19" t="s">
        <v>743</v>
      </c>
      <c r="T19" t="s">
        <v>744</v>
      </c>
      <c r="U19" t="s">
        <v>745</v>
      </c>
      <c r="V19" t="s">
        <v>646</v>
      </c>
      <c r="W19" t="s">
        <v>746</v>
      </c>
      <c r="X19" t="s">
        <v>546</v>
      </c>
      <c r="Y19" t="s">
        <v>747</v>
      </c>
      <c r="Z19" t="s">
        <v>548</v>
      </c>
      <c r="AB19" t="s">
        <v>477</v>
      </c>
      <c r="AC19" t="s">
        <v>748</v>
      </c>
      <c r="AD19" t="s">
        <v>749</v>
      </c>
      <c r="AE19" t="s">
        <v>750</v>
      </c>
      <c r="AF19" t="s">
        <v>751</v>
      </c>
      <c r="AG19" t="s">
        <v>615</v>
      </c>
      <c r="AH19" t="s">
        <v>752</v>
      </c>
      <c r="AI19" t="s">
        <v>753</v>
      </c>
      <c r="AJ19" t="s">
        <v>484</v>
      </c>
      <c r="AK19" t="s">
        <v>754</v>
      </c>
      <c r="AL19" t="s">
        <v>755</v>
      </c>
      <c r="AN19" t="s">
        <v>487</v>
      </c>
      <c r="AO19" t="s">
        <v>488</v>
      </c>
      <c r="AP19" t="s">
        <v>225</v>
      </c>
      <c r="AS19" t="s">
        <v>226</v>
      </c>
      <c r="AW19" t="s">
        <v>489</v>
      </c>
    </row>
    <row r="20" spans="1:49">
      <c r="A20" t="s">
        <v>756</v>
      </c>
      <c r="B20" t="s">
        <v>757</v>
      </c>
      <c r="C20" t="s">
        <v>457</v>
      </c>
      <c r="E20" t="s">
        <v>758</v>
      </c>
      <c r="F20" t="s">
        <v>716</v>
      </c>
      <c r="G20" t="s">
        <v>195</v>
      </c>
      <c r="H20" t="s">
        <v>759</v>
      </c>
      <c r="I20" t="s">
        <v>579</v>
      </c>
      <c r="J20" t="s">
        <v>537</v>
      </c>
      <c r="K20" t="s">
        <v>464</v>
      </c>
      <c r="L20" t="s">
        <v>537</v>
      </c>
      <c r="M20" t="s">
        <v>462</v>
      </c>
      <c r="N20" t="s">
        <v>641</v>
      </c>
      <c r="P20" s="17">
        <v>1</v>
      </c>
      <c r="Q20" t="s">
        <v>760</v>
      </c>
      <c r="R20" t="s">
        <v>761</v>
      </c>
      <c r="S20" t="s">
        <v>762</v>
      </c>
      <c r="T20" t="s">
        <v>702</v>
      </c>
      <c r="U20" t="s">
        <v>763</v>
      </c>
      <c r="V20" t="s">
        <v>646</v>
      </c>
      <c r="W20" t="s">
        <v>764</v>
      </c>
      <c r="X20" t="s">
        <v>546</v>
      </c>
      <c r="Y20" t="s">
        <v>765</v>
      </c>
      <c r="Z20" t="s">
        <v>475</v>
      </c>
      <c r="AB20" t="s">
        <v>477</v>
      </c>
      <c r="AC20" t="s">
        <v>766</v>
      </c>
      <c r="AD20" t="s">
        <v>505</v>
      </c>
      <c r="AE20" t="s">
        <v>767</v>
      </c>
      <c r="AF20" t="s">
        <v>768</v>
      </c>
      <c r="AG20" t="s">
        <v>615</v>
      </c>
      <c r="AH20" t="s">
        <v>769</v>
      </c>
      <c r="AI20" t="s">
        <v>770</v>
      </c>
      <c r="AJ20" t="s">
        <v>484</v>
      </c>
      <c r="AK20" t="s">
        <v>771</v>
      </c>
      <c r="AL20" t="s">
        <v>772</v>
      </c>
      <c r="AN20" t="s">
        <v>487</v>
      </c>
      <c r="AO20" t="s">
        <v>488</v>
      </c>
      <c r="AP20" t="s">
        <v>225</v>
      </c>
      <c r="AS20" t="s">
        <v>226</v>
      </c>
      <c r="AW20" t="s">
        <v>489</v>
      </c>
    </row>
    <row r="21" spans="1:49">
      <c r="A21" t="s">
        <v>773</v>
      </c>
      <c r="B21" t="s">
        <v>774</v>
      </c>
      <c r="C21" t="s">
        <v>558</v>
      </c>
      <c r="E21" t="s">
        <v>775</v>
      </c>
      <c r="F21" t="s">
        <v>716</v>
      </c>
      <c r="G21" t="s">
        <v>195</v>
      </c>
      <c r="H21" t="s">
        <v>776</v>
      </c>
      <c r="I21" t="s">
        <v>462</v>
      </c>
      <c r="J21" t="s">
        <v>537</v>
      </c>
      <c r="K21" t="s">
        <v>602</v>
      </c>
      <c r="L21" t="s">
        <v>462</v>
      </c>
      <c r="M21" t="s">
        <v>462</v>
      </c>
      <c r="N21" t="s">
        <v>562</v>
      </c>
      <c r="O21" t="s">
        <v>777</v>
      </c>
      <c r="P21" s="17">
        <v>7</v>
      </c>
      <c r="Q21" t="s">
        <v>778</v>
      </c>
      <c r="R21" t="s">
        <v>779</v>
      </c>
      <c r="S21" t="s">
        <v>780</v>
      </c>
      <c r="T21" t="s">
        <v>781</v>
      </c>
      <c r="U21" t="s">
        <v>782</v>
      </c>
      <c r="V21" t="s">
        <v>471</v>
      </c>
      <c r="W21" t="s">
        <v>783</v>
      </c>
      <c r="X21" t="s">
        <v>546</v>
      </c>
      <c r="Y21" t="s">
        <v>784</v>
      </c>
      <c r="Z21" t="s">
        <v>548</v>
      </c>
      <c r="AA21" t="s">
        <v>785</v>
      </c>
      <c r="AB21" t="s">
        <v>477</v>
      </c>
      <c r="AC21" t="s">
        <v>786</v>
      </c>
      <c r="AD21" t="s">
        <v>787</v>
      </c>
      <c r="AE21" t="s">
        <v>788</v>
      </c>
      <c r="AF21" t="s">
        <v>789</v>
      </c>
      <c r="AG21" t="s">
        <v>615</v>
      </c>
      <c r="AH21" t="s">
        <v>790</v>
      </c>
      <c r="AI21" t="s">
        <v>791</v>
      </c>
      <c r="AJ21" t="s">
        <v>484</v>
      </c>
      <c r="AK21" t="s">
        <v>792</v>
      </c>
      <c r="AL21" t="s">
        <v>793</v>
      </c>
      <c r="AN21" t="s">
        <v>487</v>
      </c>
      <c r="AO21" t="s">
        <v>488</v>
      </c>
      <c r="AP21" t="s">
        <v>225</v>
      </c>
      <c r="AS21" t="s">
        <v>226</v>
      </c>
      <c r="AW21" t="s">
        <v>489</v>
      </c>
    </row>
    <row r="22" spans="1:49">
      <c r="A22" t="s">
        <v>794</v>
      </c>
      <c r="B22" t="s">
        <v>795</v>
      </c>
      <c r="C22" t="s">
        <v>558</v>
      </c>
      <c r="E22" t="s">
        <v>796</v>
      </c>
      <c r="F22" t="s">
        <v>716</v>
      </c>
      <c r="G22" t="s">
        <v>195</v>
      </c>
      <c r="H22" t="s">
        <v>797</v>
      </c>
      <c r="I22" t="s">
        <v>537</v>
      </c>
      <c r="J22" t="s">
        <v>537</v>
      </c>
      <c r="K22" t="s">
        <v>602</v>
      </c>
      <c r="L22" t="s">
        <v>462</v>
      </c>
      <c r="M22" t="s">
        <v>462</v>
      </c>
      <c r="N22" t="s">
        <v>538</v>
      </c>
      <c r="O22" t="s">
        <v>495</v>
      </c>
      <c r="P22" s="17">
        <v>4</v>
      </c>
      <c r="Q22" t="s">
        <v>798</v>
      </c>
      <c r="R22" t="s">
        <v>799</v>
      </c>
      <c r="S22" t="s">
        <v>800</v>
      </c>
      <c r="T22" t="s">
        <v>801</v>
      </c>
      <c r="U22" t="s">
        <v>802</v>
      </c>
      <c r="V22" t="s">
        <v>544</v>
      </c>
      <c r="W22" t="s">
        <v>803</v>
      </c>
      <c r="X22" t="s">
        <v>588</v>
      </c>
      <c r="Y22" t="s">
        <v>804</v>
      </c>
      <c r="Z22" t="s">
        <v>548</v>
      </c>
      <c r="AB22" t="s">
        <v>590</v>
      </c>
      <c r="AC22" t="s">
        <v>805</v>
      </c>
      <c r="AD22" t="s">
        <v>592</v>
      </c>
      <c r="AE22" t="s">
        <v>691</v>
      </c>
      <c r="AF22" t="s">
        <v>806</v>
      </c>
      <c r="AG22" t="s">
        <v>615</v>
      </c>
      <c r="AH22" t="s">
        <v>790</v>
      </c>
      <c r="AI22" t="s">
        <v>807</v>
      </c>
      <c r="AJ22" t="s">
        <v>484</v>
      </c>
      <c r="AK22" t="s">
        <v>510</v>
      </c>
      <c r="AL22" t="s">
        <v>808</v>
      </c>
      <c r="AN22" t="s">
        <v>487</v>
      </c>
      <c r="AO22" t="s">
        <v>488</v>
      </c>
      <c r="AP22" t="s">
        <v>225</v>
      </c>
      <c r="AS22" t="s">
        <v>226</v>
      </c>
      <c r="AW22" t="s">
        <v>489</v>
      </c>
    </row>
    <row r="23" spans="1:49">
      <c r="A23" t="s">
        <v>809</v>
      </c>
      <c r="B23" t="s">
        <v>810</v>
      </c>
      <c r="C23" t="s">
        <v>514</v>
      </c>
      <c r="E23" t="s">
        <v>811</v>
      </c>
      <c r="F23" t="s">
        <v>716</v>
      </c>
      <c r="G23" t="s">
        <v>195</v>
      </c>
      <c r="H23" t="s">
        <v>812</v>
      </c>
      <c r="I23" t="s">
        <v>579</v>
      </c>
      <c r="J23" t="s">
        <v>579</v>
      </c>
      <c r="K23" t="s">
        <v>602</v>
      </c>
      <c r="L23" t="s">
        <v>462</v>
      </c>
      <c r="M23" t="s">
        <v>537</v>
      </c>
      <c r="N23" t="s">
        <v>813</v>
      </c>
      <c r="P23" s="17">
        <v>4</v>
      </c>
      <c r="Q23" t="s">
        <v>760</v>
      </c>
      <c r="R23" t="s">
        <v>814</v>
      </c>
      <c r="S23" t="s">
        <v>815</v>
      </c>
      <c r="T23" t="s">
        <v>702</v>
      </c>
      <c r="U23" t="s">
        <v>816</v>
      </c>
      <c r="V23" t="s">
        <v>646</v>
      </c>
      <c r="W23" t="s">
        <v>817</v>
      </c>
      <c r="X23" t="s">
        <v>588</v>
      </c>
      <c r="Y23" t="s">
        <v>818</v>
      </c>
      <c r="Z23" t="s">
        <v>548</v>
      </c>
      <c r="AA23" t="s">
        <v>819</v>
      </c>
      <c r="AB23" t="s">
        <v>590</v>
      </c>
      <c r="AC23" t="s">
        <v>820</v>
      </c>
      <c r="AD23" t="s">
        <v>651</v>
      </c>
      <c r="AE23" t="s">
        <v>821</v>
      </c>
      <c r="AF23" t="s">
        <v>822</v>
      </c>
      <c r="AG23" t="s">
        <v>615</v>
      </c>
      <c r="AH23" t="s">
        <v>823</v>
      </c>
      <c r="AI23" t="s">
        <v>824</v>
      </c>
      <c r="AJ23" t="s">
        <v>825</v>
      </c>
      <c r="AK23" t="s">
        <v>826</v>
      </c>
      <c r="AL23" t="s">
        <v>827</v>
      </c>
      <c r="AN23" t="s">
        <v>487</v>
      </c>
      <c r="AO23" t="s">
        <v>488</v>
      </c>
      <c r="AP23" t="s">
        <v>225</v>
      </c>
      <c r="AS23" t="s">
        <v>226</v>
      </c>
      <c r="AW23" t="s">
        <v>489</v>
      </c>
    </row>
    <row r="24" spans="1:49">
      <c r="A24" t="s">
        <v>828</v>
      </c>
      <c r="B24" t="s">
        <v>829</v>
      </c>
      <c r="C24" t="s">
        <v>514</v>
      </c>
      <c r="D24" t="s">
        <v>830</v>
      </c>
      <c r="E24" t="s">
        <v>831</v>
      </c>
      <c r="F24" t="s">
        <v>832</v>
      </c>
      <c r="G24" t="s">
        <v>196</v>
      </c>
      <c r="H24" t="s">
        <v>833</v>
      </c>
      <c r="I24" t="s">
        <v>537</v>
      </c>
      <c r="J24" t="s">
        <v>579</v>
      </c>
      <c r="K24" t="s">
        <v>602</v>
      </c>
      <c r="L24" t="s">
        <v>462</v>
      </c>
      <c r="M24" t="s">
        <v>462</v>
      </c>
      <c r="N24" t="s">
        <v>494</v>
      </c>
      <c r="O24" t="s">
        <v>201</v>
      </c>
      <c r="P24" s="17">
        <v>5</v>
      </c>
      <c r="Q24" t="s">
        <v>834</v>
      </c>
      <c r="R24" t="s">
        <v>835</v>
      </c>
      <c r="S24" t="s">
        <v>836</v>
      </c>
      <c r="T24" t="s">
        <v>608</v>
      </c>
      <c r="U24" t="s">
        <v>837</v>
      </c>
      <c r="V24" t="s">
        <v>544</v>
      </c>
      <c r="W24" t="s">
        <v>838</v>
      </c>
      <c r="X24" t="s">
        <v>588</v>
      </c>
      <c r="Y24" t="s">
        <v>839</v>
      </c>
      <c r="Z24" t="s">
        <v>840</v>
      </c>
      <c r="AA24" t="s">
        <v>841</v>
      </c>
      <c r="AB24" t="s">
        <v>590</v>
      </c>
      <c r="AD24" t="s">
        <v>651</v>
      </c>
      <c r="AE24" t="s">
        <v>842</v>
      </c>
      <c r="AF24" t="s">
        <v>843</v>
      </c>
      <c r="AI24" t="s">
        <v>844</v>
      </c>
      <c r="AJ24" t="s">
        <v>484</v>
      </c>
      <c r="AK24" t="s">
        <v>531</v>
      </c>
      <c r="AN24" t="s">
        <v>487</v>
      </c>
      <c r="AO24" t="s">
        <v>488</v>
      </c>
      <c r="AP24" t="s">
        <v>225</v>
      </c>
      <c r="AS24" t="s">
        <v>226</v>
      </c>
      <c r="AW24" t="s">
        <v>489</v>
      </c>
    </row>
    <row r="25" spans="1:49">
      <c r="A25" t="s">
        <v>845</v>
      </c>
      <c r="B25" t="s">
        <v>846</v>
      </c>
      <c r="C25" t="s">
        <v>514</v>
      </c>
      <c r="D25" t="s">
        <v>847</v>
      </c>
      <c r="E25" t="s">
        <v>848</v>
      </c>
      <c r="F25" t="s">
        <v>832</v>
      </c>
      <c r="G25" t="s">
        <v>196</v>
      </c>
      <c r="H25" t="s">
        <v>849</v>
      </c>
      <c r="I25" t="s">
        <v>537</v>
      </c>
      <c r="J25" t="s">
        <v>579</v>
      </c>
      <c r="K25" t="s">
        <v>602</v>
      </c>
      <c r="L25" t="s">
        <v>462</v>
      </c>
      <c r="M25" t="s">
        <v>462</v>
      </c>
      <c r="N25" t="s">
        <v>850</v>
      </c>
      <c r="O25" t="s">
        <v>851</v>
      </c>
      <c r="P25" s="17">
        <v>7</v>
      </c>
      <c r="Q25" t="s">
        <v>834</v>
      </c>
      <c r="R25" t="s">
        <v>852</v>
      </c>
      <c r="S25" t="s">
        <v>853</v>
      </c>
      <c r="T25" t="s">
        <v>608</v>
      </c>
      <c r="V25" t="s">
        <v>544</v>
      </c>
      <c r="W25" t="s">
        <v>854</v>
      </c>
      <c r="X25" t="s">
        <v>588</v>
      </c>
      <c r="Y25" t="s">
        <v>855</v>
      </c>
      <c r="AB25" t="s">
        <v>477</v>
      </c>
      <c r="AD25" t="s">
        <v>651</v>
      </c>
      <c r="AE25" t="s">
        <v>480</v>
      </c>
      <c r="AF25" t="s">
        <v>856</v>
      </c>
      <c r="AG25" t="s">
        <v>615</v>
      </c>
      <c r="AH25" t="s">
        <v>857</v>
      </c>
      <c r="AI25" t="s">
        <v>858</v>
      </c>
      <c r="AJ25" t="s">
        <v>484</v>
      </c>
      <c r="AK25" t="s">
        <v>531</v>
      </c>
      <c r="AN25" t="s">
        <v>487</v>
      </c>
      <c r="AO25" t="s">
        <v>488</v>
      </c>
      <c r="AP25" t="s">
        <v>225</v>
      </c>
      <c r="AS25" t="s">
        <v>226</v>
      </c>
      <c r="AW25" t="s">
        <v>489</v>
      </c>
    </row>
    <row r="26" spans="1:49">
      <c r="A26" t="s">
        <v>859</v>
      </c>
      <c r="B26" t="s">
        <v>860</v>
      </c>
      <c r="C26" t="s">
        <v>514</v>
      </c>
      <c r="D26" t="s">
        <v>861</v>
      </c>
      <c r="E26" t="s">
        <v>862</v>
      </c>
      <c r="F26" t="s">
        <v>832</v>
      </c>
      <c r="G26" t="s">
        <v>196</v>
      </c>
      <c r="H26" t="s">
        <v>863</v>
      </c>
      <c r="I26" t="s">
        <v>537</v>
      </c>
      <c r="J26" t="s">
        <v>579</v>
      </c>
      <c r="K26" t="s">
        <v>602</v>
      </c>
      <c r="L26" t="s">
        <v>579</v>
      </c>
      <c r="M26" t="s">
        <v>537</v>
      </c>
      <c r="N26" t="s">
        <v>201</v>
      </c>
      <c r="P26" s="17">
        <v>1</v>
      </c>
      <c r="Q26" t="s">
        <v>864</v>
      </c>
      <c r="R26" t="s">
        <v>865</v>
      </c>
      <c r="S26" t="s">
        <v>866</v>
      </c>
      <c r="T26" t="s">
        <v>867</v>
      </c>
      <c r="V26" t="s">
        <v>544</v>
      </c>
      <c r="W26" t="s">
        <v>868</v>
      </c>
      <c r="X26" t="s">
        <v>588</v>
      </c>
      <c r="Y26" t="s">
        <v>869</v>
      </c>
      <c r="AD26" t="s">
        <v>870</v>
      </c>
      <c r="AE26" t="s">
        <v>480</v>
      </c>
      <c r="AF26" t="s">
        <v>871</v>
      </c>
      <c r="AG26" t="s">
        <v>615</v>
      </c>
      <c r="AH26" t="s">
        <v>857</v>
      </c>
      <c r="AI26" t="s">
        <v>872</v>
      </c>
      <c r="AK26" t="s">
        <v>531</v>
      </c>
      <c r="AN26" t="s">
        <v>487</v>
      </c>
      <c r="AO26" t="s">
        <v>488</v>
      </c>
      <c r="AP26" t="s">
        <v>225</v>
      </c>
      <c r="AS26" t="s">
        <v>226</v>
      </c>
      <c r="AW26" t="s">
        <v>489</v>
      </c>
    </row>
    <row r="27" spans="1:49">
      <c r="A27" t="s">
        <v>873</v>
      </c>
      <c r="B27" t="s">
        <v>874</v>
      </c>
      <c r="C27" t="s">
        <v>558</v>
      </c>
      <c r="D27" t="s">
        <v>875</v>
      </c>
      <c r="E27" t="s">
        <v>876</v>
      </c>
      <c r="F27" t="s">
        <v>832</v>
      </c>
      <c r="G27" t="s">
        <v>196</v>
      </c>
      <c r="H27" t="s">
        <v>877</v>
      </c>
      <c r="I27" t="s">
        <v>579</v>
      </c>
      <c r="J27" t="s">
        <v>537</v>
      </c>
      <c r="K27" t="s">
        <v>464</v>
      </c>
      <c r="L27" t="s">
        <v>462</v>
      </c>
      <c r="M27" t="s">
        <v>462</v>
      </c>
      <c r="N27" t="s">
        <v>699</v>
      </c>
      <c r="O27" t="s">
        <v>495</v>
      </c>
      <c r="P27" s="17">
        <v>3</v>
      </c>
      <c r="Q27" t="s">
        <v>878</v>
      </c>
      <c r="R27" t="s">
        <v>879</v>
      </c>
      <c r="S27" t="s">
        <v>880</v>
      </c>
      <c r="T27" t="s">
        <v>881</v>
      </c>
      <c r="V27" t="s">
        <v>646</v>
      </c>
      <c r="W27" t="s">
        <v>882</v>
      </c>
      <c r="X27" t="s">
        <v>546</v>
      </c>
      <c r="Y27" t="s">
        <v>883</v>
      </c>
      <c r="Z27" t="s">
        <v>475</v>
      </c>
      <c r="AA27" t="s">
        <v>884</v>
      </c>
      <c r="AB27" t="s">
        <v>477</v>
      </c>
      <c r="AC27" t="s">
        <v>885</v>
      </c>
      <c r="AD27" t="s">
        <v>886</v>
      </c>
      <c r="AE27" t="s">
        <v>571</v>
      </c>
      <c r="AF27" t="s">
        <v>887</v>
      </c>
      <c r="AG27" t="s">
        <v>615</v>
      </c>
      <c r="AH27" t="s">
        <v>888</v>
      </c>
      <c r="AI27" t="s">
        <v>844</v>
      </c>
      <c r="AJ27" t="s">
        <v>484</v>
      </c>
      <c r="AK27" t="s">
        <v>889</v>
      </c>
      <c r="AL27" t="s">
        <v>890</v>
      </c>
      <c r="AN27" t="s">
        <v>487</v>
      </c>
      <c r="AO27" t="s">
        <v>488</v>
      </c>
      <c r="AP27" t="s">
        <v>225</v>
      </c>
      <c r="AS27" t="s">
        <v>226</v>
      </c>
      <c r="AW27" t="s">
        <v>489</v>
      </c>
    </row>
    <row r="28" spans="1:49">
      <c r="A28" t="s">
        <v>891</v>
      </c>
      <c r="B28" t="s">
        <v>892</v>
      </c>
      <c r="C28" t="s">
        <v>558</v>
      </c>
      <c r="D28" t="s">
        <v>875</v>
      </c>
      <c r="E28" t="s">
        <v>893</v>
      </c>
      <c r="F28" t="s">
        <v>832</v>
      </c>
      <c r="G28" t="s">
        <v>196</v>
      </c>
      <c r="H28" t="s">
        <v>894</v>
      </c>
      <c r="I28" t="s">
        <v>462</v>
      </c>
      <c r="J28" t="s">
        <v>537</v>
      </c>
      <c r="K28" t="s">
        <v>464</v>
      </c>
      <c r="L28" t="s">
        <v>462</v>
      </c>
      <c r="M28" t="s">
        <v>462</v>
      </c>
      <c r="N28" t="s">
        <v>538</v>
      </c>
      <c r="O28" t="s">
        <v>495</v>
      </c>
      <c r="P28" s="17">
        <v>4</v>
      </c>
      <c r="Q28" t="s">
        <v>895</v>
      </c>
      <c r="R28" t="s">
        <v>896</v>
      </c>
      <c r="S28" t="s">
        <v>897</v>
      </c>
      <c r="T28" t="s">
        <v>898</v>
      </c>
      <c r="U28" t="s">
        <v>899</v>
      </c>
      <c r="V28" t="s">
        <v>471</v>
      </c>
      <c r="W28" t="s">
        <v>900</v>
      </c>
      <c r="X28" t="s">
        <v>546</v>
      </c>
      <c r="Y28" t="s">
        <v>900</v>
      </c>
      <c r="Z28" t="s">
        <v>548</v>
      </c>
      <c r="AA28" t="s">
        <v>901</v>
      </c>
      <c r="AB28" t="s">
        <v>477</v>
      </c>
      <c r="AC28" t="s">
        <v>902</v>
      </c>
      <c r="AD28" t="s">
        <v>903</v>
      </c>
      <c r="AE28" t="s">
        <v>904</v>
      </c>
      <c r="AF28" t="s">
        <v>905</v>
      </c>
      <c r="AG28" t="s">
        <v>615</v>
      </c>
      <c r="AH28" t="s">
        <v>906</v>
      </c>
      <c r="AI28" t="s">
        <v>907</v>
      </c>
      <c r="AJ28" t="s">
        <v>908</v>
      </c>
      <c r="AK28" t="s">
        <v>909</v>
      </c>
      <c r="AL28" t="s">
        <v>910</v>
      </c>
      <c r="AN28" t="s">
        <v>487</v>
      </c>
      <c r="AO28" t="s">
        <v>488</v>
      </c>
      <c r="AP28" t="s">
        <v>225</v>
      </c>
      <c r="AS28" t="s">
        <v>226</v>
      </c>
      <c r="AW28" t="s">
        <v>489</v>
      </c>
    </row>
    <row r="29" spans="1:49">
      <c r="A29" t="s">
        <v>911</v>
      </c>
      <c r="B29" t="s">
        <v>912</v>
      </c>
      <c r="C29" t="s">
        <v>558</v>
      </c>
      <c r="E29" t="s">
        <v>913</v>
      </c>
      <c r="F29" t="s">
        <v>914</v>
      </c>
      <c r="G29" t="s">
        <v>201</v>
      </c>
      <c r="H29" t="s">
        <v>915</v>
      </c>
      <c r="I29" t="s">
        <v>579</v>
      </c>
      <c r="J29" t="s">
        <v>462</v>
      </c>
      <c r="K29" t="s">
        <v>464</v>
      </c>
      <c r="L29" t="s">
        <v>462</v>
      </c>
      <c r="M29" t="s">
        <v>462</v>
      </c>
      <c r="N29" t="s">
        <v>916</v>
      </c>
      <c r="O29" t="s">
        <v>518</v>
      </c>
      <c r="P29" s="17">
        <v>4</v>
      </c>
      <c r="Q29" t="s">
        <v>466</v>
      </c>
      <c r="R29" t="s">
        <v>917</v>
      </c>
      <c r="S29" t="s">
        <v>918</v>
      </c>
      <c r="T29" t="s">
        <v>498</v>
      </c>
      <c r="U29" t="s">
        <v>919</v>
      </c>
      <c r="V29" t="s">
        <v>666</v>
      </c>
      <c r="W29" t="s">
        <v>920</v>
      </c>
      <c r="X29" t="s">
        <v>588</v>
      </c>
      <c r="Y29" t="s">
        <v>921</v>
      </c>
      <c r="Z29" t="s">
        <v>475</v>
      </c>
      <c r="AA29" t="s">
        <v>922</v>
      </c>
      <c r="AB29" t="s">
        <v>477</v>
      </c>
      <c r="AC29" t="s">
        <v>923</v>
      </c>
      <c r="AD29" t="s">
        <v>479</v>
      </c>
      <c r="AE29" t="s">
        <v>924</v>
      </c>
      <c r="AF29" t="s">
        <v>925</v>
      </c>
      <c r="AG29" t="s">
        <v>615</v>
      </c>
      <c r="AH29" t="s">
        <v>926</v>
      </c>
      <c r="AI29" t="s">
        <v>927</v>
      </c>
      <c r="AJ29" t="s">
        <v>484</v>
      </c>
      <c r="AK29" t="s">
        <v>711</v>
      </c>
      <c r="AL29" t="s">
        <v>928</v>
      </c>
      <c r="AN29" t="s">
        <v>487</v>
      </c>
      <c r="AO29" t="s">
        <v>488</v>
      </c>
      <c r="AP29" t="s">
        <v>225</v>
      </c>
      <c r="AS29" t="s">
        <v>226</v>
      </c>
      <c r="AW29" t="s">
        <v>489</v>
      </c>
    </row>
    <row r="30" spans="1:49">
      <c r="A30" t="s">
        <v>929</v>
      </c>
      <c r="B30" t="s">
        <v>930</v>
      </c>
      <c r="C30" t="s">
        <v>457</v>
      </c>
      <c r="E30" t="s">
        <v>931</v>
      </c>
      <c r="F30" t="s">
        <v>914</v>
      </c>
      <c r="G30" t="s">
        <v>201</v>
      </c>
      <c r="H30" t="s">
        <v>932</v>
      </c>
      <c r="I30" t="s">
        <v>579</v>
      </c>
      <c r="J30" t="s">
        <v>579</v>
      </c>
      <c r="K30" t="s">
        <v>464</v>
      </c>
      <c r="L30" t="s">
        <v>537</v>
      </c>
      <c r="M30" t="s">
        <v>462</v>
      </c>
      <c r="N30" t="s">
        <v>933</v>
      </c>
      <c r="P30" s="17">
        <v>3</v>
      </c>
      <c r="Q30" t="s">
        <v>662</v>
      </c>
      <c r="R30" t="s">
        <v>934</v>
      </c>
      <c r="S30" t="s">
        <v>935</v>
      </c>
      <c r="T30" t="s">
        <v>936</v>
      </c>
      <c r="U30" t="s">
        <v>937</v>
      </c>
      <c r="V30" t="s">
        <v>666</v>
      </c>
      <c r="W30" t="s">
        <v>938</v>
      </c>
      <c r="X30" t="s">
        <v>588</v>
      </c>
      <c r="Y30" t="s">
        <v>939</v>
      </c>
      <c r="Z30" t="s">
        <v>475</v>
      </c>
      <c r="AA30" t="s">
        <v>940</v>
      </c>
      <c r="AB30" t="s">
        <v>477</v>
      </c>
      <c r="AC30" t="s">
        <v>941</v>
      </c>
      <c r="AD30" t="s">
        <v>592</v>
      </c>
      <c r="AE30" t="s">
        <v>942</v>
      </c>
      <c r="AF30" t="s">
        <v>943</v>
      </c>
      <c r="AG30" t="s">
        <v>615</v>
      </c>
      <c r="AH30" t="s">
        <v>926</v>
      </c>
      <c r="AI30" t="s">
        <v>944</v>
      </c>
      <c r="AJ30" t="s">
        <v>484</v>
      </c>
      <c r="AK30" t="s">
        <v>771</v>
      </c>
      <c r="AL30" t="s">
        <v>945</v>
      </c>
      <c r="AN30" t="s">
        <v>487</v>
      </c>
      <c r="AO30" t="s">
        <v>488</v>
      </c>
      <c r="AP30" t="s">
        <v>225</v>
      </c>
      <c r="AS30" t="s">
        <v>226</v>
      </c>
      <c r="AW30" t="s">
        <v>489</v>
      </c>
    </row>
    <row r="31" spans="1:49">
      <c r="A31" t="s">
        <v>946</v>
      </c>
      <c r="B31" t="s">
        <v>947</v>
      </c>
      <c r="C31" t="s">
        <v>514</v>
      </c>
      <c r="E31" t="s">
        <v>948</v>
      </c>
      <c r="F31" t="s">
        <v>914</v>
      </c>
      <c r="G31" t="s">
        <v>201</v>
      </c>
      <c r="H31" t="s">
        <v>949</v>
      </c>
      <c r="I31" t="s">
        <v>537</v>
      </c>
      <c r="J31" t="s">
        <v>462</v>
      </c>
      <c r="K31" t="s">
        <v>464</v>
      </c>
      <c r="L31" t="s">
        <v>462</v>
      </c>
      <c r="M31" t="s">
        <v>462</v>
      </c>
      <c r="N31" t="s">
        <v>718</v>
      </c>
      <c r="P31" s="17">
        <v>4</v>
      </c>
      <c r="Q31" t="s">
        <v>519</v>
      </c>
      <c r="R31" t="s">
        <v>950</v>
      </c>
      <c r="S31" t="s">
        <v>951</v>
      </c>
      <c r="T31" t="s">
        <v>952</v>
      </c>
      <c r="U31" t="s">
        <v>953</v>
      </c>
      <c r="V31" t="s">
        <v>646</v>
      </c>
      <c r="W31" t="s">
        <v>954</v>
      </c>
      <c r="X31" t="s">
        <v>546</v>
      </c>
      <c r="Y31" t="s">
        <v>955</v>
      </c>
      <c r="Z31" t="s">
        <v>475</v>
      </c>
      <c r="AA31" t="s">
        <v>956</v>
      </c>
      <c r="AB31" t="s">
        <v>477</v>
      </c>
      <c r="AC31" t="s">
        <v>957</v>
      </c>
      <c r="AD31" t="s">
        <v>958</v>
      </c>
      <c r="AE31" t="s">
        <v>959</v>
      </c>
      <c r="AF31" t="s">
        <v>960</v>
      </c>
      <c r="AG31" t="s">
        <v>615</v>
      </c>
      <c r="AH31" t="s">
        <v>616</v>
      </c>
      <c r="AI31" t="s">
        <v>961</v>
      </c>
      <c r="AJ31" t="s">
        <v>484</v>
      </c>
      <c r="AK31" t="s">
        <v>733</v>
      </c>
      <c r="AL31" t="s">
        <v>962</v>
      </c>
      <c r="AN31" t="s">
        <v>487</v>
      </c>
      <c r="AO31" t="s">
        <v>488</v>
      </c>
      <c r="AP31" t="s">
        <v>225</v>
      </c>
      <c r="AS31" t="s">
        <v>226</v>
      </c>
      <c r="AW31" t="s">
        <v>489</v>
      </c>
    </row>
    <row r="32" spans="1:49">
      <c r="A32" t="s">
        <v>963</v>
      </c>
      <c r="B32" t="s">
        <v>964</v>
      </c>
      <c r="C32" t="s">
        <v>514</v>
      </c>
      <c r="E32" t="s">
        <v>965</v>
      </c>
      <c r="F32" t="s">
        <v>914</v>
      </c>
      <c r="G32" t="s">
        <v>201</v>
      </c>
      <c r="H32" t="s">
        <v>966</v>
      </c>
      <c r="I32" t="s">
        <v>579</v>
      </c>
      <c r="J32" t="s">
        <v>537</v>
      </c>
      <c r="K32" t="s">
        <v>464</v>
      </c>
      <c r="L32" t="s">
        <v>579</v>
      </c>
      <c r="M32" t="s">
        <v>462</v>
      </c>
      <c r="N32" t="s">
        <v>201</v>
      </c>
      <c r="P32" s="17">
        <v>1</v>
      </c>
      <c r="Q32" t="s">
        <v>662</v>
      </c>
      <c r="R32" t="s">
        <v>967</v>
      </c>
      <c r="S32" t="s">
        <v>968</v>
      </c>
      <c r="T32" t="s">
        <v>498</v>
      </c>
      <c r="U32" t="s">
        <v>969</v>
      </c>
      <c r="V32" t="s">
        <v>544</v>
      </c>
      <c r="W32" t="s">
        <v>970</v>
      </c>
      <c r="X32" t="s">
        <v>546</v>
      </c>
      <c r="Y32" t="s">
        <v>971</v>
      </c>
      <c r="Z32" t="s">
        <v>548</v>
      </c>
      <c r="AA32" t="s">
        <v>972</v>
      </c>
      <c r="AB32" t="s">
        <v>477</v>
      </c>
      <c r="AC32" t="s">
        <v>973</v>
      </c>
      <c r="AD32" t="s">
        <v>974</v>
      </c>
      <c r="AE32" t="s">
        <v>975</v>
      </c>
      <c r="AF32" t="s">
        <v>976</v>
      </c>
      <c r="AG32" t="s">
        <v>615</v>
      </c>
      <c r="AH32" t="s">
        <v>977</v>
      </c>
      <c r="AI32" t="s">
        <v>978</v>
      </c>
      <c r="AJ32" t="s">
        <v>825</v>
      </c>
      <c r="AK32" t="s">
        <v>792</v>
      </c>
      <c r="AL32" t="s">
        <v>979</v>
      </c>
      <c r="AN32" t="s">
        <v>487</v>
      </c>
      <c r="AO32" t="s">
        <v>488</v>
      </c>
      <c r="AP32" t="s">
        <v>225</v>
      </c>
      <c r="AS32" t="s">
        <v>226</v>
      </c>
      <c r="AW32" t="s">
        <v>489</v>
      </c>
    </row>
    <row r="33" spans="1:49">
      <c r="A33" t="s">
        <v>980</v>
      </c>
      <c r="B33" t="s">
        <v>981</v>
      </c>
      <c r="C33" t="s">
        <v>558</v>
      </c>
      <c r="E33" t="s">
        <v>982</v>
      </c>
      <c r="F33" t="s">
        <v>914</v>
      </c>
      <c r="G33" t="s">
        <v>201</v>
      </c>
      <c r="H33" t="s">
        <v>983</v>
      </c>
      <c r="I33" t="s">
        <v>579</v>
      </c>
      <c r="J33" t="s">
        <v>579</v>
      </c>
      <c r="K33" t="s">
        <v>464</v>
      </c>
      <c r="L33" t="s">
        <v>579</v>
      </c>
      <c r="M33" t="s">
        <v>462</v>
      </c>
      <c r="P33" s="17">
        <v>0</v>
      </c>
      <c r="Q33" t="s">
        <v>984</v>
      </c>
      <c r="R33" t="s">
        <v>985</v>
      </c>
      <c r="S33" t="s">
        <v>986</v>
      </c>
      <c r="T33" t="s">
        <v>987</v>
      </c>
      <c r="U33" t="s">
        <v>988</v>
      </c>
      <c r="V33" t="s">
        <v>544</v>
      </c>
      <c r="W33" t="s">
        <v>989</v>
      </c>
      <c r="X33" t="s">
        <v>588</v>
      </c>
      <c r="Y33" t="s">
        <v>990</v>
      </c>
      <c r="Z33" t="s">
        <v>548</v>
      </c>
      <c r="AA33" t="s">
        <v>991</v>
      </c>
      <c r="AB33" t="s">
        <v>477</v>
      </c>
      <c r="AC33" t="s">
        <v>992</v>
      </c>
      <c r="AD33" t="s">
        <v>993</v>
      </c>
      <c r="AE33" t="s">
        <v>994</v>
      </c>
      <c r="AF33" t="s">
        <v>995</v>
      </c>
      <c r="AG33" t="s">
        <v>615</v>
      </c>
      <c r="AH33" t="s">
        <v>996</v>
      </c>
      <c r="AI33" t="s">
        <v>997</v>
      </c>
      <c r="AJ33" t="s">
        <v>484</v>
      </c>
      <c r="AK33" t="s">
        <v>711</v>
      </c>
      <c r="AL33" t="s">
        <v>998</v>
      </c>
      <c r="AN33" t="s">
        <v>487</v>
      </c>
      <c r="AO33" t="s">
        <v>488</v>
      </c>
      <c r="AP33" t="s">
        <v>225</v>
      </c>
      <c r="AS33" t="s">
        <v>226</v>
      </c>
      <c r="AW33" t="s">
        <v>489</v>
      </c>
    </row>
    <row r="34" spans="1:49">
      <c r="A34" t="s">
        <v>999</v>
      </c>
      <c r="B34" t="s">
        <v>1000</v>
      </c>
      <c r="C34" t="s">
        <v>558</v>
      </c>
      <c r="E34" t="s">
        <v>1001</v>
      </c>
      <c r="F34" t="s">
        <v>914</v>
      </c>
      <c r="G34" t="s">
        <v>201</v>
      </c>
      <c r="H34" t="s">
        <v>1002</v>
      </c>
      <c r="I34" t="s">
        <v>537</v>
      </c>
      <c r="J34" t="s">
        <v>537</v>
      </c>
      <c r="K34" t="s">
        <v>464</v>
      </c>
      <c r="L34" t="s">
        <v>579</v>
      </c>
      <c r="M34" t="s">
        <v>462</v>
      </c>
      <c r="P34" s="17">
        <v>0</v>
      </c>
      <c r="Q34" t="s">
        <v>1003</v>
      </c>
      <c r="R34" t="s">
        <v>1004</v>
      </c>
      <c r="S34" t="s">
        <v>1005</v>
      </c>
      <c r="T34" t="s">
        <v>1006</v>
      </c>
      <c r="U34" t="s">
        <v>1007</v>
      </c>
      <c r="V34" t="s">
        <v>544</v>
      </c>
      <c r="W34" t="s">
        <v>1008</v>
      </c>
      <c r="X34" t="s">
        <v>546</v>
      </c>
      <c r="Y34" t="s">
        <v>1009</v>
      </c>
      <c r="Z34" t="s">
        <v>548</v>
      </c>
      <c r="AA34" t="s">
        <v>1010</v>
      </c>
      <c r="AB34" t="s">
        <v>590</v>
      </c>
      <c r="AC34" t="s">
        <v>1011</v>
      </c>
      <c r="AD34" t="s">
        <v>993</v>
      </c>
      <c r="AE34" t="s">
        <v>1012</v>
      </c>
      <c r="AF34" t="s">
        <v>1013</v>
      </c>
      <c r="AG34" t="s">
        <v>615</v>
      </c>
      <c r="AH34" t="s">
        <v>1014</v>
      </c>
      <c r="AI34" t="s">
        <v>1015</v>
      </c>
      <c r="AJ34" t="s">
        <v>484</v>
      </c>
      <c r="AK34" t="s">
        <v>754</v>
      </c>
      <c r="AL34" t="s">
        <v>1016</v>
      </c>
      <c r="AN34" t="s">
        <v>487</v>
      </c>
      <c r="AO34" t="s">
        <v>488</v>
      </c>
      <c r="AP34" t="s">
        <v>225</v>
      </c>
      <c r="AS34" t="s">
        <v>226</v>
      </c>
      <c r="AW34" t="s">
        <v>489</v>
      </c>
    </row>
    <row r="35" spans="1:49" ht="19.5" customHeight="1">
      <c r="A35" t="s">
        <v>1017</v>
      </c>
      <c r="B35" t="s">
        <v>1018</v>
      </c>
      <c r="C35" t="s">
        <v>514</v>
      </c>
      <c r="E35" t="s">
        <v>1019</v>
      </c>
      <c r="F35" t="s">
        <v>1020</v>
      </c>
      <c r="G35" t="s">
        <v>1021</v>
      </c>
      <c r="H35" t="s">
        <v>1022</v>
      </c>
      <c r="I35" t="s">
        <v>579</v>
      </c>
      <c r="J35" t="s">
        <v>579</v>
      </c>
      <c r="K35" t="s">
        <v>602</v>
      </c>
      <c r="L35" t="s">
        <v>537</v>
      </c>
      <c r="M35" t="s">
        <v>462</v>
      </c>
      <c r="N35" t="s">
        <v>916</v>
      </c>
      <c r="O35" t="s">
        <v>641</v>
      </c>
      <c r="P35" s="17">
        <v>4</v>
      </c>
      <c r="R35" t="s">
        <v>1023</v>
      </c>
      <c r="S35" s="2" t="s">
        <v>1024</v>
      </c>
      <c r="T35" t="s">
        <v>1025</v>
      </c>
      <c r="V35" t="s">
        <v>1026</v>
      </c>
      <c r="W35" t="s">
        <v>1027</v>
      </c>
      <c r="X35" t="s">
        <v>1028</v>
      </c>
      <c r="Y35" t="s">
        <v>1029</v>
      </c>
      <c r="Z35" t="s">
        <v>1030</v>
      </c>
      <c r="AB35" t="s">
        <v>1031</v>
      </c>
      <c r="AD35" s="2" t="s">
        <v>1032</v>
      </c>
      <c r="AE35" s="2" t="s">
        <v>1033</v>
      </c>
      <c r="AF35" s="2" t="s">
        <v>1034</v>
      </c>
      <c r="AG35" t="s">
        <v>1035</v>
      </c>
      <c r="AI35" s="2" t="s">
        <v>1036</v>
      </c>
      <c r="AJ35" t="s">
        <v>484</v>
      </c>
      <c r="AK35" t="s">
        <v>1037</v>
      </c>
      <c r="AN35" t="s">
        <v>487</v>
      </c>
      <c r="AO35" t="s">
        <v>488</v>
      </c>
      <c r="AP35" t="s">
        <v>225</v>
      </c>
      <c r="AS35" t="s">
        <v>226</v>
      </c>
      <c r="AW35" t="s">
        <v>489</v>
      </c>
    </row>
    <row r="36" spans="1:49">
      <c r="A36" t="s">
        <v>1038</v>
      </c>
      <c r="B36" t="s">
        <v>1039</v>
      </c>
      <c r="C36" t="s">
        <v>514</v>
      </c>
      <c r="D36" t="s">
        <v>1040</v>
      </c>
      <c r="E36" t="s">
        <v>1041</v>
      </c>
      <c r="F36" t="s">
        <v>1042</v>
      </c>
      <c r="G36" t="s">
        <v>1043</v>
      </c>
      <c r="H36" t="s">
        <v>1044</v>
      </c>
      <c r="I36" t="s">
        <v>579</v>
      </c>
      <c r="J36" t="s">
        <v>579</v>
      </c>
      <c r="K36" t="s">
        <v>602</v>
      </c>
      <c r="L36" t="s">
        <v>579</v>
      </c>
      <c r="M36" t="s">
        <v>462</v>
      </c>
      <c r="N36" t="s">
        <v>641</v>
      </c>
      <c r="P36" s="17">
        <v>1</v>
      </c>
      <c r="R36" t="s">
        <v>1045</v>
      </c>
      <c r="S36" t="s">
        <v>1046</v>
      </c>
      <c r="T36" t="s">
        <v>1047</v>
      </c>
      <c r="V36" t="s">
        <v>1048</v>
      </c>
      <c r="X36" t="s">
        <v>1049</v>
      </c>
      <c r="AA36" t="s">
        <v>1050</v>
      </c>
      <c r="AB36" t="s">
        <v>1051</v>
      </c>
      <c r="AC36" t="s">
        <v>1052</v>
      </c>
      <c r="AD36" t="s">
        <v>1053</v>
      </c>
      <c r="AE36" t="s">
        <v>1054</v>
      </c>
      <c r="AG36" t="s">
        <v>1055</v>
      </c>
      <c r="AI36" t="s">
        <v>1056</v>
      </c>
      <c r="AJ36" t="s">
        <v>1057</v>
      </c>
      <c r="AK36" t="s">
        <v>1058</v>
      </c>
      <c r="AL36" t="s">
        <v>1059</v>
      </c>
      <c r="AN36" t="s">
        <v>487</v>
      </c>
      <c r="AO36" t="s">
        <v>488</v>
      </c>
      <c r="AP36" t="s">
        <v>225</v>
      </c>
      <c r="AS36" t="s">
        <v>226</v>
      </c>
      <c r="AW36" t="s">
        <v>489</v>
      </c>
    </row>
    <row r="37" spans="1:49">
      <c r="A37" t="s">
        <v>1060</v>
      </c>
      <c r="B37" t="s">
        <v>1061</v>
      </c>
      <c r="C37" t="s">
        <v>514</v>
      </c>
      <c r="E37" t="s">
        <v>1062</v>
      </c>
      <c r="F37" t="s">
        <v>1042</v>
      </c>
      <c r="G37" t="s">
        <v>197</v>
      </c>
      <c r="H37" t="s">
        <v>1063</v>
      </c>
      <c r="I37" t="s">
        <v>1064</v>
      </c>
      <c r="J37" t="s">
        <v>579</v>
      </c>
      <c r="K37" t="s">
        <v>1065</v>
      </c>
      <c r="L37" t="s">
        <v>579</v>
      </c>
      <c r="M37" t="s">
        <v>579</v>
      </c>
      <c r="N37" t="s">
        <v>851</v>
      </c>
      <c r="O37" t="s">
        <v>851</v>
      </c>
      <c r="P37" s="17">
        <v>4</v>
      </c>
      <c r="R37" t="s">
        <v>1066</v>
      </c>
      <c r="S37" t="s">
        <v>1067</v>
      </c>
      <c r="T37" t="s">
        <v>1068</v>
      </c>
      <c r="X37" t="s">
        <v>1069</v>
      </c>
      <c r="AD37" t="s">
        <v>1070</v>
      </c>
      <c r="AE37" t="s">
        <v>1071</v>
      </c>
      <c r="AN37" t="s">
        <v>487</v>
      </c>
      <c r="AO37" t="s">
        <v>488</v>
      </c>
      <c r="AP37" t="s">
        <v>225</v>
      </c>
      <c r="AS37" t="s">
        <v>226</v>
      </c>
      <c r="AW37" t="s">
        <v>489</v>
      </c>
    </row>
    <row r="38" spans="1:49">
      <c r="A38" t="s">
        <v>1072</v>
      </c>
      <c r="C38" t="s">
        <v>1073</v>
      </c>
      <c r="D38" t="s">
        <v>1074</v>
      </c>
      <c r="E38" t="s">
        <v>1075</v>
      </c>
      <c r="F38" t="s">
        <v>1076</v>
      </c>
      <c r="G38" t="s">
        <v>1077</v>
      </c>
      <c r="I38" t="s">
        <v>579</v>
      </c>
      <c r="J38" t="s">
        <v>537</v>
      </c>
      <c r="K38" t="s">
        <v>602</v>
      </c>
      <c r="L38" t="s">
        <v>462</v>
      </c>
      <c r="M38" t="s">
        <v>462</v>
      </c>
      <c r="P38" s="17"/>
    </row>
  </sheetData>
  <mergeCells count="2">
    <mergeCell ref="A1:AW1"/>
    <mergeCell ref="A2:AW2"/>
  </mergeCells>
  <dataValidations count="3">
    <dataValidation type="list" allowBlank="1" showInputMessage="1" showErrorMessage="1" errorTitle="Use a controlled value" error="Select a value from the drop-down list." sqref="AQ6:AQ1032" xr:uid="{B66FE921-3310-4981-9DAA-2F801332513B}">
      <formula1>CV_AIConfidence</formula1>
    </dataValidation>
    <dataValidation type="list" allowBlank="1" showInputMessage="1" showErrorMessage="1" errorTitle="Use a controlled value" error="Select a value from the drop-down list." sqref="AS6:AS1032" xr:uid="{EF1437FE-40FB-4492-A78C-FFCB520FF720}">
      <formula1>CV_ReviewStatus</formula1>
    </dataValidation>
    <dataValidation type="list" allowBlank="1" showInputMessage="1" showErrorMessage="1" errorTitle="Use a controlled value" error="Select a value from the drop-down list." sqref="AP6:AP1032" xr:uid="{752EB4D2-6B9F-4143-821E-2A438C56BFB3}">
      <formula1>CV_RecordOrigin</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B6AA3-89B9-498B-807F-F01357C5121B}">
  <dimension ref="A1:Q1008"/>
  <sheetViews>
    <sheetView topLeftCell="A6" workbookViewId="0">
      <selection activeCell="C11" sqref="C11"/>
    </sheetView>
  </sheetViews>
  <sheetFormatPr defaultRowHeight="14.4"/>
  <cols>
    <col min="1" max="1" width="13.5546875" customWidth="1"/>
    <col min="2" max="2" width="18.109375" style="2" customWidth="1"/>
    <col min="3" max="3" width="63.88671875" customWidth="1"/>
    <col min="4" max="4" width="51.6640625" customWidth="1"/>
    <col min="5" max="5" width="57.88671875" customWidth="1"/>
    <col min="6" max="6" width="16.6640625" customWidth="1"/>
    <col min="7" max="7" width="21.6640625" customWidth="1"/>
    <col min="8" max="8" width="51.44140625" customWidth="1"/>
    <col min="9" max="9" width="13.5546875" customWidth="1"/>
    <col min="10" max="10" width="51.44140625" customWidth="1"/>
    <col min="11" max="11" width="18.109375" customWidth="1"/>
    <col min="12" max="12" width="10.44140625" customWidth="1"/>
    <col min="13" max="13" width="57.109375" customWidth="1"/>
    <col min="14" max="15" width="15.33203125" customWidth="1"/>
    <col min="16" max="16" width="45.6640625" customWidth="1"/>
  </cols>
  <sheetData>
    <row r="1" spans="1:17" ht="30" customHeight="1">
      <c r="A1" s="46" t="s">
        <v>1078</v>
      </c>
      <c r="B1" s="46"/>
      <c r="C1" s="46"/>
      <c r="D1" s="46"/>
      <c r="E1" s="46"/>
      <c r="F1" s="46"/>
      <c r="G1" s="46"/>
      <c r="H1" s="46"/>
      <c r="I1" s="46"/>
      <c r="J1" s="46"/>
      <c r="K1" s="46"/>
      <c r="L1" s="46"/>
      <c r="M1" s="46"/>
      <c r="N1" s="46"/>
      <c r="O1" s="46"/>
    </row>
    <row r="2" spans="1:17" ht="30" customHeight="1">
      <c r="A2" s="48" t="s">
        <v>60</v>
      </c>
      <c r="B2" s="48"/>
      <c r="C2" s="48"/>
      <c r="D2" s="48"/>
      <c r="E2" s="48"/>
      <c r="F2" s="48"/>
      <c r="G2" s="48"/>
      <c r="H2" s="48"/>
      <c r="I2" s="48"/>
      <c r="J2" s="48"/>
      <c r="K2" s="48"/>
      <c r="L2" s="48"/>
      <c r="M2" s="48"/>
      <c r="N2" s="48"/>
      <c r="O2" s="48"/>
    </row>
    <row r="5" spans="1:17" ht="45" customHeight="1">
      <c r="A5" s="2" t="s">
        <v>1079</v>
      </c>
      <c r="B5" s="2" t="s">
        <v>1080</v>
      </c>
      <c r="C5" s="2" t="s">
        <v>1081</v>
      </c>
      <c r="D5" s="2" t="s">
        <v>1082</v>
      </c>
      <c r="E5" s="2" t="s">
        <v>1083</v>
      </c>
      <c r="F5" s="2" t="s">
        <v>1084</v>
      </c>
      <c r="G5" s="2" t="s">
        <v>1085</v>
      </c>
      <c r="H5" s="2" t="s">
        <v>1086</v>
      </c>
      <c r="I5" s="2" t="s">
        <v>1087</v>
      </c>
      <c r="J5" s="2" t="s">
        <v>1088</v>
      </c>
      <c r="K5" s="2" t="s">
        <v>1089</v>
      </c>
      <c r="L5" s="2" t="s">
        <v>1090</v>
      </c>
      <c r="M5" s="2" t="s">
        <v>1091</v>
      </c>
      <c r="N5" s="2" t="s">
        <v>26</v>
      </c>
      <c r="O5" s="2" t="s">
        <v>208</v>
      </c>
      <c r="P5" s="2" t="s">
        <v>209</v>
      </c>
      <c r="Q5" s="2" t="s">
        <v>15</v>
      </c>
    </row>
    <row r="6" spans="1:17" ht="43.2">
      <c r="A6" t="s">
        <v>1092</v>
      </c>
      <c r="B6" s="2" t="s">
        <v>1093</v>
      </c>
      <c r="C6" s="2" t="s">
        <v>1094</v>
      </c>
      <c r="D6" s="2"/>
      <c r="E6" s="2"/>
      <c r="F6" t="s">
        <v>1095</v>
      </c>
      <c r="H6" t="s">
        <v>1096</v>
      </c>
      <c r="I6" t="s">
        <v>1097</v>
      </c>
      <c r="J6" t="s">
        <v>1098</v>
      </c>
      <c r="K6" s="6">
        <v>46252</v>
      </c>
      <c r="L6" t="s">
        <v>1099</v>
      </c>
      <c r="M6" t="s">
        <v>1100</v>
      </c>
      <c r="N6" t="s">
        <v>1101</v>
      </c>
      <c r="O6" t="s">
        <v>1102</v>
      </c>
      <c r="P6" t="s">
        <v>1103</v>
      </c>
      <c r="Q6" t="s">
        <v>1104</v>
      </c>
    </row>
    <row r="7" spans="1:17" ht="43.2">
      <c r="A7" t="s">
        <v>1105</v>
      </c>
      <c r="B7" s="2" t="s">
        <v>1106</v>
      </c>
      <c r="C7" s="2" t="s">
        <v>1107</v>
      </c>
      <c r="D7" s="2"/>
      <c r="E7" s="2"/>
      <c r="F7" t="s">
        <v>1108</v>
      </c>
      <c r="H7" t="s">
        <v>1109</v>
      </c>
      <c r="I7" t="s">
        <v>1110</v>
      </c>
      <c r="J7" t="s">
        <v>1111</v>
      </c>
      <c r="K7" s="6">
        <v>46251</v>
      </c>
      <c r="L7" t="s">
        <v>1099</v>
      </c>
      <c r="M7" t="s">
        <v>1112</v>
      </c>
      <c r="N7" t="s">
        <v>1101</v>
      </c>
      <c r="O7" t="s">
        <v>1102</v>
      </c>
      <c r="P7" t="s">
        <v>1103</v>
      </c>
      <c r="Q7" t="s">
        <v>1113</v>
      </c>
    </row>
    <row r="8" spans="1:17" ht="162" customHeight="1">
      <c r="A8" t="s">
        <v>1114</v>
      </c>
      <c r="B8" s="2" t="s">
        <v>1115</v>
      </c>
      <c r="C8" s="2" t="s">
        <v>1116</v>
      </c>
      <c r="D8" s="2" t="s">
        <v>1117</v>
      </c>
      <c r="E8" s="2" t="s">
        <v>1118</v>
      </c>
      <c r="G8" s="2" t="s">
        <v>1119</v>
      </c>
      <c r="H8" s="2" t="s">
        <v>1120</v>
      </c>
      <c r="I8" s="2" t="s">
        <v>1110</v>
      </c>
      <c r="J8" s="2" t="s">
        <v>1121</v>
      </c>
      <c r="K8" s="42">
        <v>46302</v>
      </c>
      <c r="L8" s="2" t="s">
        <v>1099</v>
      </c>
      <c r="M8" s="2" t="s">
        <v>1122</v>
      </c>
      <c r="N8" s="2" t="s">
        <v>226</v>
      </c>
    </row>
    <row r="9" spans="1:17" ht="144">
      <c r="A9" t="s">
        <v>1123</v>
      </c>
      <c r="B9" s="2" t="s">
        <v>1124</v>
      </c>
      <c r="C9" s="2" t="s">
        <v>1125</v>
      </c>
      <c r="D9" s="2" t="s">
        <v>1126</v>
      </c>
      <c r="E9" s="2" t="s">
        <v>1127</v>
      </c>
      <c r="F9" t="s">
        <v>1128</v>
      </c>
      <c r="H9" t="s">
        <v>1129</v>
      </c>
      <c r="I9" t="s">
        <v>1110</v>
      </c>
      <c r="J9" t="s">
        <v>1130</v>
      </c>
      <c r="K9" s="6">
        <v>46283</v>
      </c>
      <c r="L9" t="s">
        <v>1099</v>
      </c>
      <c r="M9" t="s">
        <v>1131</v>
      </c>
      <c r="N9" t="s">
        <v>226</v>
      </c>
      <c r="P9" s="2" t="s">
        <v>1132</v>
      </c>
    </row>
    <row r="10" spans="1:17" ht="43.2">
      <c r="A10" t="s">
        <v>1133</v>
      </c>
      <c r="B10" s="2" t="s">
        <v>1134</v>
      </c>
      <c r="C10" s="2" t="s">
        <v>1135</v>
      </c>
      <c r="D10" s="2"/>
      <c r="E10" s="2"/>
      <c r="H10" t="s">
        <v>1136</v>
      </c>
      <c r="I10" t="s">
        <v>1110</v>
      </c>
      <c r="J10" t="s">
        <v>1137</v>
      </c>
      <c r="K10" s="6">
        <v>46133</v>
      </c>
      <c r="L10" t="s">
        <v>1099</v>
      </c>
      <c r="M10" t="s">
        <v>1138</v>
      </c>
      <c r="N10" t="s">
        <v>1101</v>
      </c>
      <c r="O10" t="s">
        <v>1102</v>
      </c>
      <c r="P10" t="s">
        <v>1103</v>
      </c>
      <c r="Q10" t="s">
        <v>1139</v>
      </c>
    </row>
    <row r="11" spans="1:17" ht="43.2">
      <c r="A11" t="s">
        <v>1140</v>
      </c>
      <c r="B11" s="2" t="s">
        <v>1141</v>
      </c>
      <c r="C11" s="2" t="s">
        <v>1142</v>
      </c>
      <c r="D11" s="2"/>
      <c r="E11" s="2"/>
      <c r="F11" t="s">
        <v>1143</v>
      </c>
      <c r="H11" t="s">
        <v>1144</v>
      </c>
      <c r="I11" t="s">
        <v>1110</v>
      </c>
      <c r="J11" t="s">
        <v>1145</v>
      </c>
      <c r="K11" s="6">
        <v>46245</v>
      </c>
      <c r="L11" t="s">
        <v>1099</v>
      </c>
      <c r="M11" t="s">
        <v>1146</v>
      </c>
      <c r="N11" t="s">
        <v>1101</v>
      </c>
      <c r="O11" t="s">
        <v>1102</v>
      </c>
      <c r="P11" t="s">
        <v>1103</v>
      </c>
      <c r="Q11" t="s">
        <v>1147</v>
      </c>
    </row>
    <row r="12" spans="1:17" ht="43.2">
      <c r="A12" t="s">
        <v>1148</v>
      </c>
      <c r="B12" s="2" t="s">
        <v>1149</v>
      </c>
      <c r="C12" s="2" t="s">
        <v>1150</v>
      </c>
      <c r="D12" s="2"/>
      <c r="E12" s="2"/>
      <c r="H12" t="s">
        <v>1151</v>
      </c>
      <c r="I12" t="s">
        <v>1110</v>
      </c>
      <c r="J12" t="s">
        <v>1152</v>
      </c>
      <c r="K12" s="6">
        <v>46155</v>
      </c>
      <c r="L12" t="s">
        <v>1099</v>
      </c>
      <c r="M12" t="s">
        <v>1153</v>
      </c>
      <c r="N12" t="s">
        <v>1101</v>
      </c>
      <c r="O12" t="s">
        <v>1102</v>
      </c>
      <c r="P12" t="s">
        <v>1103</v>
      </c>
      <c r="Q12" t="s">
        <v>1154</v>
      </c>
    </row>
    <row r="13" spans="1:17" ht="72">
      <c r="A13" t="s">
        <v>1155</v>
      </c>
      <c r="B13" s="2" t="s">
        <v>1156</v>
      </c>
      <c r="C13" s="2" t="s">
        <v>1157</v>
      </c>
      <c r="D13" s="2"/>
      <c r="E13" s="2"/>
      <c r="G13" t="s">
        <v>641</v>
      </c>
      <c r="H13" t="s">
        <v>1158</v>
      </c>
      <c r="I13" t="s">
        <v>1110</v>
      </c>
      <c r="J13" t="s">
        <v>1159</v>
      </c>
      <c r="K13" s="6">
        <v>46244</v>
      </c>
      <c r="L13" t="s">
        <v>1099</v>
      </c>
      <c r="M13" t="s">
        <v>1160</v>
      </c>
      <c r="N13" t="s">
        <v>1101</v>
      </c>
      <c r="O13" t="s">
        <v>1102</v>
      </c>
      <c r="P13" t="s">
        <v>1103</v>
      </c>
      <c r="Q13" t="s">
        <v>1161</v>
      </c>
    </row>
    <row r="14" spans="1:17" ht="158.4">
      <c r="A14" t="s">
        <v>1162</v>
      </c>
      <c r="B14" s="2" t="s">
        <v>1163</v>
      </c>
      <c r="C14" s="2" t="s">
        <v>1164</v>
      </c>
      <c r="D14" s="2"/>
      <c r="E14" s="2"/>
      <c r="G14" t="s">
        <v>1165</v>
      </c>
      <c r="J14" t="s">
        <v>1166</v>
      </c>
      <c r="K14" s="6">
        <v>46267</v>
      </c>
      <c r="L14" t="s">
        <v>1099</v>
      </c>
      <c r="M14" t="s">
        <v>1167</v>
      </c>
      <c r="N14" t="s">
        <v>1101</v>
      </c>
      <c r="O14" t="s">
        <v>1102</v>
      </c>
    </row>
    <row r="15" spans="1:17">
      <c r="I15" s="6"/>
    </row>
    <row r="16" spans="1:17">
      <c r="I16" s="6"/>
    </row>
    <row r="17" spans="9:9">
      <c r="I17" s="6"/>
    </row>
    <row r="18" spans="9:9">
      <c r="I18" s="6"/>
    </row>
    <row r="19" spans="9:9">
      <c r="I19" s="6"/>
    </row>
    <row r="20" spans="9:9">
      <c r="I20" s="6"/>
    </row>
    <row r="21" spans="9:9">
      <c r="I21" s="6"/>
    </row>
    <row r="22" spans="9:9">
      <c r="I22" s="6"/>
    </row>
    <row r="23" spans="9:9">
      <c r="I23" s="6"/>
    </row>
    <row r="24" spans="9:9">
      <c r="I24" s="6"/>
    </row>
    <row r="25" spans="9:9">
      <c r="I25" s="6"/>
    </row>
    <row r="26" spans="9:9">
      <c r="I26" s="6"/>
    </row>
    <row r="27" spans="9:9">
      <c r="I27" s="6"/>
    </row>
    <row r="28" spans="9:9">
      <c r="I28" s="6"/>
    </row>
    <row r="29" spans="9:9">
      <c r="I29" s="6"/>
    </row>
    <row r="30" spans="9:9">
      <c r="I30" s="6"/>
    </row>
    <row r="31" spans="9:9">
      <c r="I31" s="6"/>
    </row>
    <row r="32" spans="9:9">
      <c r="I32" s="6"/>
    </row>
    <row r="33" spans="9:9">
      <c r="I33" s="6"/>
    </row>
    <row r="34" spans="9:9">
      <c r="I34" s="6"/>
    </row>
    <row r="35" spans="9:9">
      <c r="I35" s="6"/>
    </row>
    <row r="36" spans="9:9">
      <c r="I36" s="6"/>
    </row>
    <row r="37" spans="9:9">
      <c r="I37" s="6"/>
    </row>
    <row r="38" spans="9:9">
      <c r="I38" s="6"/>
    </row>
    <row r="39" spans="9:9">
      <c r="I39" s="6"/>
    </row>
    <row r="40" spans="9:9">
      <c r="I40" s="6"/>
    </row>
    <row r="41" spans="9:9">
      <c r="I41" s="6"/>
    </row>
    <row r="42" spans="9:9">
      <c r="I42" s="6"/>
    </row>
    <row r="43" spans="9:9">
      <c r="I43" s="6"/>
    </row>
    <row r="44" spans="9:9">
      <c r="I44" s="6"/>
    </row>
    <row r="45" spans="9:9">
      <c r="I45" s="6"/>
    </row>
    <row r="46" spans="9:9">
      <c r="I46" s="6"/>
    </row>
    <row r="47" spans="9:9">
      <c r="I47" s="6"/>
    </row>
    <row r="48" spans="9:9">
      <c r="I48" s="6"/>
    </row>
    <row r="49" spans="9:9">
      <c r="I49" s="6"/>
    </row>
    <row r="50" spans="9:9">
      <c r="I50" s="6"/>
    </row>
    <row r="51" spans="9:9">
      <c r="I51" s="6"/>
    </row>
    <row r="52" spans="9:9">
      <c r="I52" s="6"/>
    </row>
    <row r="53" spans="9:9">
      <c r="I53" s="6"/>
    </row>
    <row r="54" spans="9:9">
      <c r="I54" s="6"/>
    </row>
    <row r="55" spans="9:9">
      <c r="I55" s="6"/>
    </row>
    <row r="56" spans="9:9">
      <c r="I56" s="6"/>
    </row>
    <row r="57" spans="9:9">
      <c r="I57" s="6"/>
    </row>
    <row r="58" spans="9:9">
      <c r="I58" s="6"/>
    </row>
    <row r="59" spans="9:9">
      <c r="I59" s="6"/>
    </row>
    <row r="60" spans="9:9">
      <c r="I60" s="6"/>
    </row>
    <row r="61" spans="9:9">
      <c r="I61" s="6"/>
    </row>
    <row r="62" spans="9:9">
      <c r="I62" s="6"/>
    </row>
    <row r="63" spans="9:9">
      <c r="I63" s="6"/>
    </row>
    <row r="64" spans="9:9">
      <c r="I64" s="6"/>
    </row>
    <row r="65" spans="9:9">
      <c r="I65" s="6"/>
    </row>
    <row r="66" spans="9:9">
      <c r="I66" s="6"/>
    </row>
    <row r="67" spans="9:9">
      <c r="I67" s="6"/>
    </row>
    <row r="68" spans="9:9">
      <c r="I68" s="6"/>
    </row>
    <row r="69" spans="9:9">
      <c r="I69" s="6"/>
    </row>
    <row r="70" spans="9:9">
      <c r="I70" s="6"/>
    </row>
    <row r="71" spans="9:9">
      <c r="I71" s="6"/>
    </row>
    <row r="72" spans="9:9">
      <c r="I72" s="6"/>
    </row>
    <row r="73" spans="9:9">
      <c r="I73" s="6"/>
    </row>
    <row r="74" spans="9:9">
      <c r="I74" s="6"/>
    </row>
    <row r="75" spans="9:9">
      <c r="I75" s="6"/>
    </row>
    <row r="76" spans="9:9">
      <c r="I76" s="6"/>
    </row>
    <row r="77" spans="9:9">
      <c r="I77" s="6"/>
    </row>
    <row r="78" spans="9:9">
      <c r="I78" s="6"/>
    </row>
    <row r="79" spans="9:9">
      <c r="I79" s="6"/>
    </row>
    <row r="80" spans="9:9">
      <c r="I80" s="6"/>
    </row>
    <row r="81" spans="9:9">
      <c r="I81" s="6"/>
    </row>
    <row r="82" spans="9:9">
      <c r="I82" s="6"/>
    </row>
    <row r="83" spans="9:9">
      <c r="I83" s="6"/>
    </row>
    <row r="84" spans="9:9">
      <c r="I84" s="6"/>
    </row>
    <row r="85" spans="9:9">
      <c r="I85" s="6"/>
    </row>
    <row r="86" spans="9:9">
      <c r="I86" s="6"/>
    </row>
    <row r="87" spans="9:9">
      <c r="I87" s="6"/>
    </row>
    <row r="88" spans="9:9">
      <c r="I88" s="6"/>
    </row>
    <row r="89" spans="9:9">
      <c r="I89" s="6"/>
    </row>
    <row r="90" spans="9:9">
      <c r="I90" s="6"/>
    </row>
    <row r="91" spans="9:9">
      <c r="I91" s="6"/>
    </row>
    <row r="92" spans="9:9">
      <c r="I92" s="6"/>
    </row>
    <row r="93" spans="9:9">
      <c r="I93" s="6"/>
    </row>
    <row r="94" spans="9:9">
      <c r="I94" s="6"/>
    </row>
    <row r="95" spans="9:9">
      <c r="I95" s="6"/>
    </row>
    <row r="96" spans="9:9">
      <c r="I96" s="6"/>
    </row>
    <row r="97" spans="9:9">
      <c r="I97" s="6"/>
    </row>
    <row r="98" spans="9:9">
      <c r="I98" s="6"/>
    </row>
    <row r="99" spans="9:9">
      <c r="I99" s="6"/>
    </row>
    <row r="100" spans="9:9">
      <c r="I100" s="6"/>
    </row>
    <row r="101" spans="9:9">
      <c r="I101" s="6"/>
    </row>
    <row r="102" spans="9:9">
      <c r="I102" s="6"/>
    </row>
    <row r="103" spans="9:9">
      <c r="I103" s="6"/>
    </row>
    <row r="104" spans="9:9">
      <c r="I104" s="6"/>
    </row>
    <row r="105" spans="9:9">
      <c r="I105" s="6"/>
    </row>
    <row r="106" spans="9:9">
      <c r="I106" s="6"/>
    </row>
    <row r="107" spans="9:9">
      <c r="I107" s="6"/>
    </row>
    <row r="108" spans="9:9">
      <c r="I108" s="6"/>
    </row>
    <row r="109" spans="9:9">
      <c r="I109" s="6"/>
    </row>
    <row r="110" spans="9:9">
      <c r="I110" s="6"/>
    </row>
    <row r="111" spans="9:9">
      <c r="I111" s="6"/>
    </row>
    <row r="112" spans="9:9">
      <c r="I112" s="6"/>
    </row>
    <row r="113" spans="9:9">
      <c r="I113" s="6"/>
    </row>
    <row r="114" spans="9:9">
      <c r="I114" s="6"/>
    </row>
    <row r="115" spans="9:9">
      <c r="I115" s="6"/>
    </row>
    <row r="116" spans="9:9">
      <c r="I116" s="6"/>
    </row>
    <row r="117" spans="9:9">
      <c r="I117" s="6"/>
    </row>
    <row r="118" spans="9:9">
      <c r="I118" s="6"/>
    </row>
    <row r="119" spans="9:9">
      <c r="I119" s="6"/>
    </row>
    <row r="120" spans="9:9">
      <c r="I120" s="6"/>
    </row>
    <row r="121" spans="9:9">
      <c r="I121" s="6"/>
    </row>
    <row r="122" spans="9:9">
      <c r="I122" s="6"/>
    </row>
    <row r="123" spans="9:9">
      <c r="I123" s="6"/>
    </row>
    <row r="124" spans="9:9">
      <c r="I124" s="6"/>
    </row>
    <row r="125" spans="9:9">
      <c r="I125" s="6"/>
    </row>
    <row r="126" spans="9:9">
      <c r="I126" s="6"/>
    </row>
    <row r="127" spans="9:9">
      <c r="I127" s="6"/>
    </row>
    <row r="128" spans="9:9">
      <c r="I128" s="6"/>
    </row>
    <row r="129" spans="9:9">
      <c r="I129" s="6"/>
    </row>
    <row r="130" spans="9:9">
      <c r="I130" s="6"/>
    </row>
    <row r="131" spans="9:9">
      <c r="I131" s="6"/>
    </row>
    <row r="132" spans="9:9">
      <c r="I132" s="6"/>
    </row>
    <row r="133" spans="9:9">
      <c r="I133" s="6"/>
    </row>
    <row r="134" spans="9:9">
      <c r="I134" s="6"/>
    </row>
    <row r="135" spans="9:9">
      <c r="I135" s="6"/>
    </row>
    <row r="136" spans="9:9">
      <c r="I136" s="6"/>
    </row>
    <row r="137" spans="9:9">
      <c r="I137" s="6"/>
    </row>
    <row r="138" spans="9:9">
      <c r="I138" s="6"/>
    </row>
    <row r="139" spans="9:9">
      <c r="I139" s="6"/>
    </row>
    <row r="140" spans="9:9">
      <c r="I140" s="6"/>
    </row>
    <row r="141" spans="9:9">
      <c r="I141" s="6"/>
    </row>
    <row r="142" spans="9:9">
      <c r="I142" s="6"/>
    </row>
    <row r="143" spans="9:9">
      <c r="I143" s="6"/>
    </row>
    <row r="144" spans="9:9">
      <c r="I144" s="6"/>
    </row>
    <row r="145" spans="9:9">
      <c r="I145" s="6"/>
    </row>
    <row r="146" spans="9:9">
      <c r="I146" s="6"/>
    </row>
    <row r="147" spans="9:9">
      <c r="I147" s="6"/>
    </row>
    <row r="148" spans="9:9">
      <c r="I148" s="6"/>
    </row>
    <row r="149" spans="9:9">
      <c r="I149" s="6"/>
    </row>
    <row r="150" spans="9:9">
      <c r="I150" s="6"/>
    </row>
    <row r="151" spans="9:9">
      <c r="I151" s="6"/>
    </row>
    <row r="152" spans="9:9">
      <c r="I152" s="6"/>
    </row>
    <row r="153" spans="9:9">
      <c r="I153" s="6"/>
    </row>
    <row r="154" spans="9:9">
      <c r="I154" s="6"/>
    </row>
    <row r="155" spans="9:9">
      <c r="I155" s="6"/>
    </row>
    <row r="156" spans="9:9">
      <c r="I156" s="6"/>
    </row>
    <row r="157" spans="9:9">
      <c r="I157" s="6"/>
    </row>
    <row r="158" spans="9:9">
      <c r="I158" s="6"/>
    </row>
    <row r="159" spans="9:9">
      <c r="I159" s="6"/>
    </row>
    <row r="160" spans="9:9">
      <c r="I160" s="6"/>
    </row>
    <row r="161" spans="9:9">
      <c r="I161" s="6"/>
    </row>
    <row r="162" spans="9:9">
      <c r="I162" s="6"/>
    </row>
    <row r="163" spans="9:9">
      <c r="I163" s="6"/>
    </row>
    <row r="164" spans="9:9">
      <c r="I164" s="6"/>
    </row>
    <row r="165" spans="9:9">
      <c r="I165" s="6"/>
    </row>
    <row r="166" spans="9:9">
      <c r="I166" s="6"/>
    </row>
    <row r="167" spans="9:9">
      <c r="I167" s="6"/>
    </row>
    <row r="168" spans="9:9">
      <c r="I168" s="6"/>
    </row>
    <row r="169" spans="9:9">
      <c r="I169" s="6"/>
    </row>
    <row r="170" spans="9:9">
      <c r="I170" s="6"/>
    </row>
    <row r="171" spans="9:9">
      <c r="I171" s="6"/>
    </row>
    <row r="172" spans="9:9">
      <c r="I172" s="6"/>
    </row>
    <row r="173" spans="9:9">
      <c r="I173" s="6"/>
    </row>
    <row r="174" spans="9:9">
      <c r="I174" s="6"/>
    </row>
    <row r="175" spans="9:9">
      <c r="I175" s="6"/>
    </row>
    <row r="176" spans="9:9">
      <c r="I176" s="6"/>
    </row>
    <row r="177" spans="9:9">
      <c r="I177" s="6"/>
    </row>
    <row r="178" spans="9:9">
      <c r="I178" s="6"/>
    </row>
    <row r="179" spans="9:9">
      <c r="I179" s="6"/>
    </row>
    <row r="180" spans="9:9">
      <c r="I180" s="6"/>
    </row>
    <row r="181" spans="9:9">
      <c r="I181" s="6"/>
    </row>
    <row r="182" spans="9:9">
      <c r="I182" s="6"/>
    </row>
    <row r="183" spans="9:9">
      <c r="I183" s="6"/>
    </row>
    <row r="184" spans="9:9">
      <c r="I184" s="6"/>
    </row>
    <row r="185" spans="9:9">
      <c r="I185" s="6"/>
    </row>
    <row r="186" spans="9:9">
      <c r="I186" s="6"/>
    </row>
    <row r="187" spans="9:9">
      <c r="I187" s="6"/>
    </row>
    <row r="188" spans="9:9">
      <c r="I188" s="6"/>
    </row>
    <row r="189" spans="9:9">
      <c r="I189" s="6"/>
    </row>
    <row r="190" spans="9:9">
      <c r="I190" s="6"/>
    </row>
    <row r="191" spans="9:9">
      <c r="I191" s="6"/>
    </row>
    <row r="192" spans="9:9">
      <c r="I192" s="6"/>
    </row>
    <row r="193" spans="9:9">
      <c r="I193" s="6"/>
    </row>
    <row r="194" spans="9:9">
      <c r="I194" s="6"/>
    </row>
    <row r="195" spans="9:9">
      <c r="I195" s="6"/>
    </row>
    <row r="196" spans="9:9">
      <c r="I196" s="6"/>
    </row>
    <row r="197" spans="9:9">
      <c r="I197" s="6"/>
    </row>
    <row r="198" spans="9:9">
      <c r="I198" s="6"/>
    </row>
    <row r="199" spans="9:9">
      <c r="I199" s="6"/>
    </row>
    <row r="200" spans="9:9">
      <c r="I200" s="6"/>
    </row>
    <row r="201" spans="9:9">
      <c r="I201" s="6"/>
    </row>
    <row r="202" spans="9:9">
      <c r="I202" s="6"/>
    </row>
    <row r="203" spans="9:9">
      <c r="I203" s="6"/>
    </row>
    <row r="204" spans="9:9">
      <c r="I204" s="6"/>
    </row>
    <row r="205" spans="9:9">
      <c r="I205" s="6"/>
    </row>
    <row r="206" spans="9:9">
      <c r="I206" s="6"/>
    </row>
    <row r="207" spans="9:9">
      <c r="I207" s="6"/>
    </row>
    <row r="208" spans="9:9">
      <c r="I208" s="6"/>
    </row>
    <row r="209" spans="9:9">
      <c r="I209" s="6"/>
    </row>
    <row r="210" spans="9:9">
      <c r="I210" s="6"/>
    </row>
    <row r="211" spans="9:9">
      <c r="I211" s="6"/>
    </row>
    <row r="212" spans="9:9">
      <c r="I212" s="6"/>
    </row>
    <row r="213" spans="9:9">
      <c r="I213" s="6"/>
    </row>
    <row r="214" spans="9:9">
      <c r="I214" s="6"/>
    </row>
    <row r="215" spans="9:9">
      <c r="I215" s="6"/>
    </row>
    <row r="216" spans="9:9">
      <c r="I216" s="6"/>
    </row>
    <row r="217" spans="9:9">
      <c r="I217" s="6"/>
    </row>
    <row r="218" spans="9:9">
      <c r="I218" s="6"/>
    </row>
    <row r="219" spans="9:9">
      <c r="I219" s="6"/>
    </row>
    <row r="220" spans="9:9">
      <c r="I220" s="6"/>
    </row>
    <row r="221" spans="9:9">
      <c r="I221" s="6"/>
    </row>
    <row r="222" spans="9:9">
      <c r="I222" s="6"/>
    </row>
    <row r="223" spans="9:9">
      <c r="I223" s="6"/>
    </row>
    <row r="224" spans="9:9">
      <c r="I224" s="6"/>
    </row>
    <row r="225" spans="9:9">
      <c r="I225" s="6"/>
    </row>
    <row r="226" spans="9:9">
      <c r="I226" s="6"/>
    </row>
    <row r="227" spans="9:9">
      <c r="I227" s="6"/>
    </row>
    <row r="228" spans="9:9">
      <c r="I228" s="6"/>
    </row>
    <row r="229" spans="9:9">
      <c r="I229" s="6"/>
    </row>
    <row r="230" spans="9:9">
      <c r="I230" s="6"/>
    </row>
    <row r="231" spans="9:9">
      <c r="I231" s="6"/>
    </row>
    <row r="232" spans="9:9">
      <c r="I232" s="6"/>
    </row>
    <row r="233" spans="9:9">
      <c r="I233" s="6"/>
    </row>
    <row r="234" spans="9:9">
      <c r="I234" s="6"/>
    </row>
    <row r="235" spans="9:9">
      <c r="I235" s="6"/>
    </row>
    <row r="236" spans="9:9">
      <c r="I236" s="6"/>
    </row>
    <row r="237" spans="9:9">
      <c r="I237" s="6"/>
    </row>
    <row r="238" spans="9:9">
      <c r="I238" s="6"/>
    </row>
    <row r="239" spans="9:9">
      <c r="I239" s="6"/>
    </row>
    <row r="240" spans="9:9">
      <c r="I240" s="6"/>
    </row>
    <row r="241" spans="9:9">
      <c r="I241" s="6"/>
    </row>
    <row r="242" spans="9:9">
      <c r="I242" s="6"/>
    </row>
    <row r="243" spans="9:9">
      <c r="I243" s="6"/>
    </row>
    <row r="244" spans="9:9">
      <c r="I244" s="6"/>
    </row>
    <row r="245" spans="9:9">
      <c r="I245" s="6"/>
    </row>
    <row r="246" spans="9:9">
      <c r="I246" s="6"/>
    </row>
    <row r="247" spans="9:9">
      <c r="I247" s="6"/>
    </row>
    <row r="248" spans="9:9">
      <c r="I248" s="6"/>
    </row>
    <row r="249" spans="9:9">
      <c r="I249" s="6"/>
    </row>
    <row r="250" spans="9:9">
      <c r="I250" s="6"/>
    </row>
    <row r="251" spans="9:9">
      <c r="I251" s="6"/>
    </row>
    <row r="252" spans="9:9">
      <c r="I252" s="6"/>
    </row>
    <row r="253" spans="9:9">
      <c r="I253" s="6"/>
    </row>
    <row r="254" spans="9:9">
      <c r="I254" s="6"/>
    </row>
    <row r="255" spans="9:9">
      <c r="I255" s="6"/>
    </row>
    <row r="256" spans="9:9">
      <c r="I256" s="6"/>
    </row>
    <row r="257" spans="9:9">
      <c r="I257" s="6"/>
    </row>
    <row r="258" spans="9:9">
      <c r="I258" s="6"/>
    </row>
    <row r="259" spans="9:9">
      <c r="I259" s="6"/>
    </row>
    <row r="260" spans="9:9">
      <c r="I260" s="6"/>
    </row>
    <row r="261" spans="9:9">
      <c r="I261" s="6"/>
    </row>
    <row r="262" spans="9:9">
      <c r="I262" s="6"/>
    </row>
    <row r="263" spans="9:9">
      <c r="I263" s="6"/>
    </row>
    <row r="264" spans="9:9">
      <c r="I264" s="6"/>
    </row>
    <row r="265" spans="9:9">
      <c r="I265" s="6"/>
    </row>
    <row r="266" spans="9:9">
      <c r="I266" s="6"/>
    </row>
    <row r="267" spans="9:9">
      <c r="I267" s="6"/>
    </row>
    <row r="268" spans="9:9">
      <c r="I268" s="6"/>
    </row>
    <row r="269" spans="9:9">
      <c r="I269" s="6"/>
    </row>
    <row r="270" spans="9:9">
      <c r="I270" s="6"/>
    </row>
    <row r="271" spans="9:9">
      <c r="I271" s="6"/>
    </row>
    <row r="272" spans="9:9">
      <c r="I272" s="6"/>
    </row>
    <row r="273" spans="9:9">
      <c r="I273" s="6"/>
    </row>
    <row r="274" spans="9:9">
      <c r="I274" s="6"/>
    </row>
    <row r="275" spans="9:9">
      <c r="I275" s="6"/>
    </row>
    <row r="276" spans="9:9">
      <c r="I276" s="6"/>
    </row>
    <row r="277" spans="9:9">
      <c r="I277" s="6"/>
    </row>
    <row r="278" spans="9:9">
      <c r="I278" s="6"/>
    </row>
    <row r="279" spans="9:9">
      <c r="I279" s="6"/>
    </row>
    <row r="280" spans="9:9">
      <c r="I280" s="6"/>
    </row>
    <row r="281" spans="9:9">
      <c r="I281" s="6"/>
    </row>
    <row r="282" spans="9:9">
      <c r="I282" s="6"/>
    </row>
    <row r="283" spans="9:9">
      <c r="I283" s="6"/>
    </row>
    <row r="284" spans="9:9">
      <c r="I284" s="6"/>
    </row>
    <row r="285" spans="9:9">
      <c r="I285" s="6"/>
    </row>
    <row r="286" spans="9:9">
      <c r="I286" s="6"/>
    </row>
    <row r="287" spans="9:9">
      <c r="I287" s="6"/>
    </row>
    <row r="288" spans="9:9">
      <c r="I288" s="6"/>
    </row>
    <row r="289" spans="9:9">
      <c r="I289" s="6"/>
    </row>
    <row r="290" spans="9:9">
      <c r="I290" s="6"/>
    </row>
    <row r="291" spans="9:9">
      <c r="I291" s="6"/>
    </row>
    <row r="292" spans="9:9">
      <c r="I292" s="6"/>
    </row>
    <row r="293" spans="9:9">
      <c r="I293" s="6"/>
    </row>
    <row r="294" spans="9:9">
      <c r="I294" s="6"/>
    </row>
    <row r="295" spans="9:9">
      <c r="I295" s="6"/>
    </row>
    <row r="296" spans="9:9">
      <c r="I296" s="6"/>
    </row>
    <row r="297" spans="9:9">
      <c r="I297" s="6"/>
    </row>
    <row r="298" spans="9:9">
      <c r="I298" s="6"/>
    </row>
    <row r="299" spans="9:9">
      <c r="I299" s="6"/>
    </row>
    <row r="300" spans="9:9">
      <c r="I300" s="6"/>
    </row>
    <row r="301" spans="9:9">
      <c r="I301" s="6"/>
    </row>
    <row r="302" spans="9:9">
      <c r="I302" s="6"/>
    </row>
    <row r="303" spans="9:9">
      <c r="I303" s="6"/>
    </row>
    <row r="304" spans="9:9">
      <c r="I304" s="6"/>
    </row>
    <row r="305" spans="9:9">
      <c r="I305" s="6"/>
    </row>
    <row r="306" spans="9:9">
      <c r="I306" s="6"/>
    </row>
    <row r="307" spans="9:9">
      <c r="I307" s="6"/>
    </row>
    <row r="308" spans="9:9">
      <c r="I308" s="6"/>
    </row>
    <row r="309" spans="9:9">
      <c r="I309" s="6"/>
    </row>
    <row r="310" spans="9:9">
      <c r="I310" s="6"/>
    </row>
    <row r="311" spans="9:9">
      <c r="I311" s="6"/>
    </row>
    <row r="312" spans="9:9">
      <c r="I312" s="6"/>
    </row>
    <row r="313" spans="9:9">
      <c r="I313" s="6"/>
    </row>
    <row r="314" spans="9:9">
      <c r="I314" s="6"/>
    </row>
    <row r="315" spans="9:9">
      <c r="I315" s="6"/>
    </row>
    <row r="316" spans="9:9">
      <c r="I316" s="6"/>
    </row>
    <row r="317" spans="9:9">
      <c r="I317" s="6"/>
    </row>
    <row r="318" spans="9:9">
      <c r="I318" s="6"/>
    </row>
    <row r="319" spans="9:9">
      <c r="I319" s="6"/>
    </row>
    <row r="320" spans="9:9">
      <c r="I320" s="6"/>
    </row>
    <row r="321" spans="9:9">
      <c r="I321" s="6"/>
    </row>
    <row r="322" spans="9:9">
      <c r="I322" s="6"/>
    </row>
    <row r="323" spans="9:9">
      <c r="I323" s="6"/>
    </row>
    <row r="324" spans="9:9">
      <c r="I324" s="6"/>
    </row>
    <row r="325" spans="9:9">
      <c r="I325" s="6"/>
    </row>
    <row r="326" spans="9:9">
      <c r="I326" s="6"/>
    </row>
    <row r="327" spans="9:9">
      <c r="I327" s="6"/>
    </row>
    <row r="328" spans="9:9">
      <c r="I328" s="6"/>
    </row>
    <row r="329" spans="9:9">
      <c r="I329" s="6"/>
    </row>
    <row r="330" spans="9:9">
      <c r="I330" s="6"/>
    </row>
    <row r="331" spans="9:9">
      <c r="I331" s="6"/>
    </row>
    <row r="332" spans="9:9">
      <c r="I332" s="6"/>
    </row>
    <row r="333" spans="9:9">
      <c r="I333" s="6"/>
    </row>
    <row r="334" spans="9:9">
      <c r="I334" s="6"/>
    </row>
    <row r="335" spans="9:9">
      <c r="I335" s="6"/>
    </row>
    <row r="336" spans="9:9">
      <c r="I336" s="6"/>
    </row>
    <row r="337" spans="9:9">
      <c r="I337" s="6"/>
    </row>
    <row r="338" spans="9:9">
      <c r="I338" s="6"/>
    </row>
    <row r="339" spans="9:9">
      <c r="I339" s="6"/>
    </row>
    <row r="340" spans="9:9">
      <c r="I340" s="6"/>
    </row>
    <row r="341" spans="9:9">
      <c r="I341" s="6"/>
    </row>
    <row r="342" spans="9:9">
      <c r="I342" s="6"/>
    </row>
    <row r="343" spans="9:9">
      <c r="I343" s="6"/>
    </row>
    <row r="344" spans="9:9">
      <c r="I344" s="6"/>
    </row>
    <row r="345" spans="9:9">
      <c r="I345" s="6"/>
    </row>
    <row r="346" spans="9:9">
      <c r="I346" s="6"/>
    </row>
    <row r="347" spans="9:9">
      <c r="I347" s="6"/>
    </row>
    <row r="348" spans="9:9">
      <c r="I348" s="6"/>
    </row>
    <row r="349" spans="9:9">
      <c r="I349" s="6"/>
    </row>
    <row r="350" spans="9:9">
      <c r="I350" s="6"/>
    </row>
    <row r="351" spans="9:9">
      <c r="I351" s="6"/>
    </row>
    <row r="352" spans="9:9">
      <c r="I352" s="6"/>
    </row>
    <row r="353" spans="9:9">
      <c r="I353" s="6"/>
    </row>
    <row r="354" spans="9:9">
      <c r="I354" s="6"/>
    </row>
    <row r="355" spans="9:9">
      <c r="I355" s="6"/>
    </row>
    <row r="356" spans="9:9">
      <c r="I356" s="6"/>
    </row>
    <row r="357" spans="9:9">
      <c r="I357" s="6"/>
    </row>
    <row r="358" spans="9:9">
      <c r="I358" s="6"/>
    </row>
    <row r="359" spans="9:9">
      <c r="I359" s="6"/>
    </row>
    <row r="360" spans="9:9">
      <c r="I360" s="6"/>
    </row>
    <row r="361" spans="9:9">
      <c r="I361" s="6"/>
    </row>
    <row r="362" spans="9:9">
      <c r="I362" s="6"/>
    </row>
    <row r="363" spans="9:9">
      <c r="I363" s="6"/>
    </row>
    <row r="364" spans="9:9">
      <c r="I364" s="6"/>
    </row>
    <row r="365" spans="9:9">
      <c r="I365" s="6"/>
    </row>
    <row r="366" spans="9:9">
      <c r="I366" s="6"/>
    </row>
    <row r="367" spans="9:9">
      <c r="I367" s="6"/>
    </row>
    <row r="368" spans="9:9">
      <c r="I368" s="6"/>
    </row>
    <row r="369" spans="9:9">
      <c r="I369" s="6"/>
    </row>
    <row r="370" spans="9:9">
      <c r="I370" s="6"/>
    </row>
    <row r="371" spans="9:9">
      <c r="I371" s="6"/>
    </row>
    <row r="372" spans="9:9">
      <c r="I372" s="6"/>
    </row>
    <row r="373" spans="9:9">
      <c r="I373" s="6"/>
    </row>
    <row r="374" spans="9:9">
      <c r="I374" s="6"/>
    </row>
    <row r="375" spans="9:9">
      <c r="I375" s="6"/>
    </row>
    <row r="376" spans="9:9">
      <c r="I376" s="6"/>
    </row>
    <row r="377" spans="9:9">
      <c r="I377" s="6"/>
    </row>
    <row r="378" spans="9:9">
      <c r="I378" s="6"/>
    </row>
    <row r="379" spans="9:9">
      <c r="I379" s="6"/>
    </row>
    <row r="380" spans="9:9">
      <c r="I380" s="6"/>
    </row>
    <row r="381" spans="9:9">
      <c r="I381" s="6"/>
    </row>
    <row r="382" spans="9:9">
      <c r="I382" s="6"/>
    </row>
    <row r="383" spans="9:9">
      <c r="I383" s="6"/>
    </row>
    <row r="384" spans="9:9">
      <c r="I384" s="6"/>
    </row>
    <row r="385" spans="9:9">
      <c r="I385" s="6"/>
    </row>
    <row r="386" spans="9:9">
      <c r="I386" s="6"/>
    </row>
    <row r="387" spans="9:9">
      <c r="I387" s="6"/>
    </row>
    <row r="388" spans="9:9">
      <c r="I388" s="6"/>
    </row>
    <row r="389" spans="9:9">
      <c r="I389" s="6"/>
    </row>
    <row r="390" spans="9:9">
      <c r="I390" s="6"/>
    </row>
    <row r="391" spans="9:9">
      <c r="I391" s="6"/>
    </row>
    <row r="392" spans="9:9">
      <c r="I392" s="6"/>
    </row>
    <row r="393" spans="9:9">
      <c r="I393" s="6"/>
    </row>
    <row r="394" spans="9:9">
      <c r="I394" s="6"/>
    </row>
    <row r="395" spans="9:9">
      <c r="I395" s="6"/>
    </row>
    <row r="396" spans="9:9">
      <c r="I396" s="6"/>
    </row>
    <row r="397" spans="9:9">
      <c r="I397" s="6"/>
    </row>
    <row r="398" spans="9:9">
      <c r="I398" s="6"/>
    </row>
    <row r="399" spans="9:9">
      <c r="I399" s="6"/>
    </row>
    <row r="400" spans="9:9">
      <c r="I400" s="6"/>
    </row>
    <row r="401" spans="9:9">
      <c r="I401" s="6"/>
    </row>
    <row r="402" spans="9:9">
      <c r="I402" s="6"/>
    </row>
    <row r="403" spans="9:9">
      <c r="I403" s="6"/>
    </row>
    <row r="404" spans="9:9">
      <c r="I404" s="6"/>
    </row>
    <row r="405" spans="9:9">
      <c r="I405" s="6"/>
    </row>
    <row r="406" spans="9:9">
      <c r="I406" s="6"/>
    </row>
    <row r="407" spans="9:9">
      <c r="I407" s="6"/>
    </row>
    <row r="408" spans="9:9">
      <c r="I408" s="6"/>
    </row>
    <row r="409" spans="9:9">
      <c r="I409" s="6"/>
    </row>
    <row r="410" spans="9:9">
      <c r="I410" s="6"/>
    </row>
    <row r="411" spans="9:9">
      <c r="I411" s="6"/>
    </row>
    <row r="412" spans="9:9">
      <c r="I412" s="6"/>
    </row>
    <row r="413" spans="9:9">
      <c r="I413" s="6"/>
    </row>
    <row r="414" spans="9:9">
      <c r="I414" s="6"/>
    </row>
    <row r="415" spans="9:9">
      <c r="I415" s="6"/>
    </row>
    <row r="416" spans="9:9">
      <c r="I416" s="6"/>
    </row>
    <row r="417" spans="9:9">
      <c r="I417" s="6"/>
    </row>
    <row r="418" spans="9:9">
      <c r="I418" s="6"/>
    </row>
    <row r="419" spans="9:9">
      <c r="I419" s="6"/>
    </row>
    <row r="420" spans="9:9">
      <c r="I420" s="6"/>
    </row>
    <row r="421" spans="9:9">
      <c r="I421" s="6"/>
    </row>
    <row r="422" spans="9:9">
      <c r="I422" s="6"/>
    </row>
    <row r="423" spans="9:9">
      <c r="I423" s="6"/>
    </row>
    <row r="424" spans="9:9">
      <c r="I424" s="6"/>
    </row>
    <row r="425" spans="9:9">
      <c r="I425" s="6"/>
    </row>
    <row r="426" spans="9:9">
      <c r="I426" s="6"/>
    </row>
    <row r="427" spans="9:9">
      <c r="I427" s="6"/>
    </row>
    <row r="428" spans="9:9">
      <c r="I428" s="6"/>
    </row>
    <row r="429" spans="9:9">
      <c r="I429" s="6"/>
    </row>
    <row r="430" spans="9:9">
      <c r="I430" s="6"/>
    </row>
    <row r="431" spans="9:9">
      <c r="I431" s="6"/>
    </row>
    <row r="432" spans="9:9">
      <c r="I432" s="6"/>
    </row>
    <row r="433" spans="9:9">
      <c r="I433" s="6"/>
    </row>
    <row r="434" spans="9:9">
      <c r="I434" s="6"/>
    </row>
    <row r="435" spans="9:9">
      <c r="I435" s="6"/>
    </row>
    <row r="436" spans="9:9">
      <c r="I436" s="6"/>
    </row>
    <row r="437" spans="9:9">
      <c r="I437" s="6"/>
    </row>
    <row r="438" spans="9:9">
      <c r="I438" s="6"/>
    </row>
    <row r="439" spans="9:9">
      <c r="I439" s="6"/>
    </row>
    <row r="440" spans="9:9">
      <c r="I440" s="6"/>
    </row>
    <row r="441" spans="9:9">
      <c r="I441" s="6"/>
    </row>
    <row r="442" spans="9:9">
      <c r="I442" s="6"/>
    </row>
    <row r="443" spans="9:9">
      <c r="I443" s="6"/>
    </row>
    <row r="444" spans="9:9">
      <c r="I444" s="6"/>
    </row>
    <row r="445" spans="9:9">
      <c r="I445" s="6"/>
    </row>
    <row r="446" spans="9:9">
      <c r="I446" s="6"/>
    </row>
    <row r="447" spans="9:9">
      <c r="I447" s="6"/>
    </row>
    <row r="448" spans="9:9">
      <c r="I448" s="6"/>
    </row>
    <row r="449" spans="9:9">
      <c r="I449" s="6"/>
    </row>
    <row r="450" spans="9:9">
      <c r="I450" s="6"/>
    </row>
    <row r="451" spans="9:9">
      <c r="I451" s="6"/>
    </row>
    <row r="452" spans="9:9">
      <c r="I452" s="6"/>
    </row>
    <row r="453" spans="9:9">
      <c r="I453" s="6"/>
    </row>
    <row r="454" spans="9:9">
      <c r="I454" s="6"/>
    </row>
    <row r="455" spans="9:9">
      <c r="I455" s="6"/>
    </row>
    <row r="456" spans="9:9">
      <c r="I456" s="6"/>
    </row>
    <row r="457" spans="9:9">
      <c r="I457" s="6"/>
    </row>
    <row r="458" spans="9:9">
      <c r="I458" s="6"/>
    </row>
    <row r="459" spans="9:9">
      <c r="I459" s="6"/>
    </row>
    <row r="460" spans="9:9">
      <c r="I460" s="6"/>
    </row>
    <row r="461" spans="9:9">
      <c r="I461" s="6"/>
    </row>
    <row r="462" spans="9:9">
      <c r="I462" s="6"/>
    </row>
    <row r="463" spans="9:9">
      <c r="I463" s="6"/>
    </row>
    <row r="464" spans="9:9">
      <c r="I464" s="6"/>
    </row>
    <row r="465" spans="9:9">
      <c r="I465" s="6"/>
    </row>
    <row r="466" spans="9:9">
      <c r="I466" s="6"/>
    </row>
    <row r="467" spans="9:9">
      <c r="I467" s="6"/>
    </row>
    <row r="468" spans="9:9">
      <c r="I468" s="6"/>
    </row>
    <row r="469" spans="9:9">
      <c r="I469" s="6"/>
    </row>
    <row r="470" spans="9:9">
      <c r="I470" s="6"/>
    </row>
    <row r="471" spans="9:9">
      <c r="I471" s="6"/>
    </row>
    <row r="472" spans="9:9">
      <c r="I472" s="6"/>
    </row>
    <row r="473" spans="9:9">
      <c r="I473" s="6"/>
    </row>
    <row r="474" spans="9:9">
      <c r="I474" s="6"/>
    </row>
    <row r="475" spans="9:9">
      <c r="I475" s="6"/>
    </row>
    <row r="476" spans="9:9">
      <c r="I476" s="6"/>
    </row>
    <row r="477" spans="9:9">
      <c r="I477" s="6"/>
    </row>
    <row r="478" spans="9:9">
      <c r="I478" s="6"/>
    </row>
    <row r="479" spans="9:9">
      <c r="I479" s="6"/>
    </row>
    <row r="480" spans="9:9">
      <c r="I480" s="6"/>
    </row>
    <row r="481" spans="9:9">
      <c r="I481" s="6"/>
    </row>
    <row r="482" spans="9:9">
      <c r="I482" s="6"/>
    </row>
    <row r="483" spans="9:9">
      <c r="I483" s="6"/>
    </row>
    <row r="484" spans="9:9">
      <c r="I484" s="6"/>
    </row>
    <row r="485" spans="9:9">
      <c r="I485" s="6"/>
    </row>
    <row r="486" spans="9:9">
      <c r="I486" s="6"/>
    </row>
    <row r="487" spans="9:9">
      <c r="I487" s="6"/>
    </row>
    <row r="488" spans="9:9">
      <c r="I488" s="6"/>
    </row>
    <row r="489" spans="9:9">
      <c r="I489" s="6"/>
    </row>
    <row r="490" spans="9:9">
      <c r="I490" s="6"/>
    </row>
    <row r="491" spans="9:9">
      <c r="I491" s="6"/>
    </row>
    <row r="492" spans="9:9">
      <c r="I492" s="6"/>
    </row>
    <row r="493" spans="9:9">
      <c r="I493" s="6"/>
    </row>
    <row r="494" spans="9:9">
      <c r="I494" s="6"/>
    </row>
    <row r="495" spans="9:9">
      <c r="I495" s="6"/>
    </row>
    <row r="496" spans="9:9">
      <c r="I496" s="6"/>
    </row>
    <row r="497" spans="9:9">
      <c r="I497" s="6"/>
    </row>
    <row r="498" spans="9:9">
      <c r="I498" s="6"/>
    </row>
    <row r="499" spans="9:9">
      <c r="I499" s="6"/>
    </row>
    <row r="500" spans="9:9">
      <c r="I500" s="6"/>
    </row>
    <row r="501" spans="9:9">
      <c r="I501" s="6"/>
    </row>
    <row r="502" spans="9:9">
      <c r="I502" s="6"/>
    </row>
    <row r="503" spans="9:9">
      <c r="I503" s="6"/>
    </row>
    <row r="504" spans="9:9">
      <c r="I504" s="6"/>
    </row>
    <row r="505" spans="9:9">
      <c r="I505" s="6"/>
    </row>
    <row r="506" spans="9:9">
      <c r="I506" s="6"/>
    </row>
    <row r="507" spans="9:9">
      <c r="I507" s="6"/>
    </row>
    <row r="508" spans="9:9">
      <c r="I508" s="6"/>
    </row>
    <row r="509" spans="9:9">
      <c r="I509" s="6"/>
    </row>
    <row r="510" spans="9:9">
      <c r="I510" s="6"/>
    </row>
    <row r="511" spans="9:9">
      <c r="I511" s="6"/>
    </row>
    <row r="512" spans="9:9">
      <c r="I512" s="6"/>
    </row>
    <row r="513" spans="9:9">
      <c r="I513" s="6"/>
    </row>
    <row r="514" spans="9:9">
      <c r="I514" s="6"/>
    </row>
    <row r="515" spans="9:9">
      <c r="I515" s="6"/>
    </row>
    <row r="516" spans="9:9">
      <c r="I516" s="6"/>
    </row>
    <row r="517" spans="9:9">
      <c r="I517" s="6"/>
    </row>
    <row r="518" spans="9:9">
      <c r="I518" s="6"/>
    </row>
    <row r="519" spans="9:9">
      <c r="I519" s="6"/>
    </row>
    <row r="520" spans="9:9">
      <c r="I520" s="6"/>
    </row>
    <row r="521" spans="9:9">
      <c r="I521" s="6"/>
    </row>
    <row r="522" spans="9:9">
      <c r="I522" s="6"/>
    </row>
    <row r="523" spans="9:9">
      <c r="I523" s="6"/>
    </row>
    <row r="524" spans="9:9">
      <c r="I524" s="6"/>
    </row>
    <row r="525" spans="9:9">
      <c r="I525" s="6"/>
    </row>
    <row r="526" spans="9:9">
      <c r="I526" s="6"/>
    </row>
    <row r="527" spans="9:9">
      <c r="I527" s="6"/>
    </row>
    <row r="528" spans="9:9">
      <c r="I528" s="6"/>
    </row>
    <row r="529" spans="9:9">
      <c r="I529" s="6"/>
    </row>
    <row r="530" spans="9:9">
      <c r="I530" s="6"/>
    </row>
    <row r="531" spans="9:9">
      <c r="I531" s="6"/>
    </row>
    <row r="532" spans="9:9">
      <c r="I532" s="6"/>
    </row>
    <row r="533" spans="9:9">
      <c r="I533" s="6"/>
    </row>
    <row r="534" spans="9:9">
      <c r="I534" s="6"/>
    </row>
    <row r="535" spans="9:9">
      <c r="I535" s="6"/>
    </row>
    <row r="536" spans="9:9">
      <c r="I536" s="6"/>
    </row>
    <row r="537" spans="9:9">
      <c r="I537" s="6"/>
    </row>
    <row r="538" spans="9:9">
      <c r="I538" s="6"/>
    </row>
    <row r="539" spans="9:9">
      <c r="I539" s="6"/>
    </row>
    <row r="540" spans="9:9">
      <c r="I540" s="6"/>
    </row>
    <row r="541" spans="9:9">
      <c r="I541" s="6"/>
    </row>
    <row r="542" spans="9:9">
      <c r="I542" s="6"/>
    </row>
    <row r="543" spans="9:9">
      <c r="I543" s="6"/>
    </row>
    <row r="544" spans="9:9">
      <c r="I544" s="6"/>
    </row>
    <row r="545" spans="9:9">
      <c r="I545" s="6"/>
    </row>
    <row r="546" spans="9:9">
      <c r="I546" s="6"/>
    </row>
    <row r="547" spans="9:9">
      <c r="I547" s="6"/>
    </row>
    <row r="548" spans="9:9">
      <c r="I548" s="6"/>
    </row>
    <row r="549" spans="9:9">
      <c r="I549" s="6"/>
    </row>
    <row r="550" spans="9:9">
      <c r="I550" s="6"/>
    </row>
    <row r="551" spans="9:9">
      <c r="I551" s="6"/>
    </row>
    <row r="552" spans="9:9">
      <c r="I552" s="6"/>
    </row>
    <row r="553" spans="9:9">
      <c r="I553" s="6"/>
    </row>
    <row r="554" spans="9:9">
      <c r="I554" s="6"/>
    </row>
    <row r="555" spans="9:9">
      <c r="I555" s="6"/>
    </row>
    <row r="556" spans="9:9">
      <c r="I556" s="6"/>
    </row>
    <row r="557" spans="9:9">
      <c r="I557" s="6"/>
    </row>
    <row r="558" spans="9:9">
      <c r="I558" s="6"/>
    </row>
    <row r="559" spans="9:9">
      <c r="I559" s="6"/>
    </row>
    <row r="560" spans="9:9">
      <c r="I560" s="6"/>
    </row>
    <row r="561" spans="9:9">
      <c r="I561" s="6"/>
    </row>
    <row r="562" spans="9:9">
      <c r="I562" s="6"/>
    </row>
    <row r="563" spans="9:9">
      <c r="I563" s="6"/>
    </row>
    <row r="564" spans="9:9">
      <c r="I564" s="6"/>
    </row>
    <row r="565" spans="9:9">
      <c r="I565" s="6"/>
    </row>
    <row r="566" spans="9:9">
      <c r="I566" s="6"/>
    </row>
    <row r="567" spans="9:9">
      <c r="I567" s="6"/>
    </row>
    <row r="568" spans="9:9">
      <c r="I568" s="6"/>
    </row>
    <row r="569" spans="9:9">
      <c r="I569" s="6"/>
    </row>
    <row r="570" spans="9:9">
      <c r="I570" s="6"/>
    </row>
    <row r="571" spans="9:9">
      <c r="I571" s="6"/>
    </row>
    <row r="572" spans="9:9">
      <c r="I572" s="6"/>
    </row>
    <row r="573" spans="9:9">
      <c r="I573" s="6"/>
    </row>
    <row r="574" spans="9:9">
      <c r="I574" s="6"/>
    </row>
    <row r="575" spans="9:9">
      <c r="I575" s="6"/>
    </row>
    <row r="576" spans="9:9">
      <c r="I576" s="6"/>
    </row>
    <row r="577" spans="9:9">
      <c r="I577" s="6"/>
    </row>
    <row r="578" spans="9:9">
      <c r="I578" s="6"/>
    </row>
    <row r="579" spans="9:9">
      <c r="I579" s="6"/>
    </row>
    <row r="580" spans="9:9">
      <c r="I580" s="6"/>
    </row>
    <row r="581" spans="9:9">
      <c r="I581" s="6"/>
    </row>
    <row r="582" spans="9:9">
      <c r="I582" s="6"/>
    </row>
    <row r="583" spans="9:9">
      <c r="I583" s="6"/>
    </row>
    <row r="584" spans="9:9">
      <c r="I584" s="6"/>
    </row>
    <row r="585" spans="9:9">
      <c r="I585" s="6"/>
    </row>
    <row r="586" spans="9:9">
      <c r="I586" s="6"/>
    </row>
    <row r="587" spans="9:9">
      <c r="I587" s="6"/>
    </row>
    <row r="588" spans="9:9">
      <c r="I588" s="6"/>
    </row>
    <row r="589" spans="9:9">
      <c r="I589" s="6"/>
    </row>
    <row r="590" spans="9:9">
      <c r="I590" s="6"/>
    </row>
    <row r="591" spans="9:9">
      <c r="I591" s="6"/>
    </row>
    <row r="592" spans="9:9">
      <c r="I592" s="6"/>
    </row>
    <row r="593" spans="9:9">
      <c r="I593" s="6"/>
    </row>
    <row r="594" spans="9:9">
      <c r="I594" s="6"/>
    </row>
    <row r="595" spans="9:9">
      <c r="I595" s="6"/>
    </row>
    <row r="596" spans="9:9">
      <c r="I596" s="6"/>
    </row>
    <row r="597" spans="9:9">
      <c r="I597" s="6"/>
    </row>
    <row r="598" spans="9:9">
      <c r="I598" s="6"/>
    </row>
    <row r="599" spans="9:9">
      <c r="I599" s="6"/>
    </row>
    <row r="600" spans="9:9">
      <c r="I600" s="6"/>
    </row>
    <row r="601" spans="9:9">
      <c r="I601" s="6"/>
    </row>
    <row r="602" spans="9:9">
      <c r="I602" s="6"/>
    </row>
    <row r="603" spans="9:9">
      <c r="I603" s="6"/>
    </row>
    <row r="604" spans="9:9">
      <c r="I604" s="6"/>
    </row>
    <row r="605" spans="9:9">
      <c r="I605" s="6"/>
    </row>
    <row r="606" spans="9:9">
      <c r="I606" s="6"/>
    </row>
    <row r="607" spans="9:9">
      <c r="I607" s="6"/>
    </row>
    <row r="608" spans="9:9">
      <c r="I608" s="6"/>
    </row>
    <row r="609" spans="9:9">
      <c r="I609" s="6"/>
    </row>
    <row r="610" spans="9:9">
      <c r="I610" s="6"/>
    </row>
    <row r="611" spans="9:9">
      <c r="I611" s="6"/>
    </row>
    <row r="612" spans="9:9">
      <c r="I612" s="6"/>
    </row>
    <row r="613" spans="9:9">
      <c r="I613" s="6"/>
    </row>
    <row r="614" spans="9:9">
      <c r="I614" s="6"/>
    </row>
    <row r="615" spans="9:9">
      <c r="I615" s="6"/>
    </row>
    <row r="616" spans="9:9">
      <c r="I616" s="6"/>
    </row>
    <row r="617" spans="9:9">
      <c r="I617" s="6"/>
    </row>
    <row r="618" spans="9:9">
      <c r="I618" s="6"/>
    </row>
    <row r="619" spans="9:9">
      <c r="I619" s="6"/>
    </row>
    <row r="620" spans="9:9">
      <c r="I620" s="6"/>
    </row>
    <row r="621" spans="9:9">
      <c r="I621" s="6"/>
    </row>
    <row r="622" spans="9:9">
      <c r="I622" s="6"/>
    </row>
    <row r="623" spans="9:9">
      <c r="I623" s="6"/>
    </row>
    <row r="624" spans="9:9">
      <c r="I624" s="6"/>
    </row>
    <row r="625" spans="9:9">
      <c r="I625" s="6"/>
    </row>
    <row r="626" spans="9:9">
      <c r="I626" s="6"/>
    </row>
    <row r="627" spans="9:9">
      <c r="I627" s="6"/>
    </row>
    <row r="628" spans="9:9">
      <c r="I628" s="6"/>
    </row>
    <row r="629" spans="9:9">
      <c r="I629" s="6"/>
    </row>
    <row r="630" spans="9:9">
      <c r="I630" s="6"/>
    </row>
    <row r="631" spans="9:9">
      <c r="I631" s="6"/>
    </row>
    <row r="632" spans="9:9">
      <c r="I632" s="6"/>
    </row>
    <row r="633" spans="9:9">
      <c r="I633" s="6"/>
    </row>
    <row r="634" spans="9:9">
      <c r="I634" s="6"/>
    </row>
    <row r="635" spans="9:9">
      <c r="I635" s="6"/>
    </row>
    <row r="636" spans="9:9">
      <c r="I636" s="6"/>
    </row>
    <row r="637" spans="9:9">
      <c r="I637" s="6"/>
    </row>
    <row r="638" spans="9:9">
      <c r="I638" s="6"/>
    </row>
    <row r="639" spans="9:9">
      <c r="I639" s="6"/>
    </row>
    <row r="640" spans="9:9">
      <c r="I640" s="6"/>
    </row>
    <row r="641" spans="9:9">
      <c r="I641" s="6"/>
    </row>
    <row r="642" spans="9:9">
      <c r="I642" s="6"/>
    </row>
    <row r="643" spans="9:9">
      <c r="I643" s="6"/>
    </row>
    <row r="644" spans="9:9">
      <c r="I644" s="6"/>
    </row>
    <row r="645" spans="9:9">
      <c r="I645" s="6"/>
    </row>
    <row r="646" spans="9:9">
      <c r="I646" s="6"/>
    </row>
    <row r="647" spans="9:9">
      <c r="I647" s="6"/>
    </row>
    <row r="648" spans="9:9">
      <c r="I648" s="6"/>
    </row>
    <row r="649" spans="9:9">
      <c r="I649" s="6"/>
    </row>
    <row r="650" spans="9:9">
      <c r="I650" s="6"/>
    </row>
    <row r="651" spans="9:9">
      <c r="I651" s="6"/>
    </row>
    <row r="652" spans="9:9">
      <c r="I652" s="6"/>
    </row>
    <row r="653" spans="9:9">
      <c r="I653" s="6"/>
    </row>
    <row r="654" spans="9:9">
      <c r="I654" s="6"/>
    </row>
    <row r="655" spans="9:9">
      <c r="I655" s="6"/>
    </row>
    <row r="656" spans="9:9">
      <c r="I656" s="6"/>
    </row>
    <row r="657" spans="9:9">
      <c r="I657" s="6"/>
    </row>
    <row r="658" spans="9:9">
      <c r="I658" s="6"/>
    </row>
    <row r="659" spans="9:9">
      <c r="I659" s="6"/>
    </row>
    <row r="660" spans="9:9">
      <c r="I660" s="6"/>
    </row>
    <row r="661" spans="9:9">
      <c r="I661" s="6"/>
    </row>
    <row r="662" spans="9:9">
      <c r="I662" s="6"/>
    </row>
    <row r="663" spans="9:9">
      <c r="I663" s="6"/>
    </row>
    <row r="664" spans="9:9">
      <c r="I664" s="6"/>
    </row>
    <row r="665" spans="9:9">
      <c r="I665" s="6"/>
    </row>
    <row r="666" spans="9:9">
      <c r="I666" s="6"/>
    </row>
    <row r="667" spans="9:9">
      <c r="I667" s="6"/>
    </row>
    <row r="668" spans="9:9">
      <c r="I668" s="6"/>
    </row>
    <row r="669" spans="9:9">
      <c r="I669" s="6"/>
    </row>
    <row r="670" spans="9:9">
      <c r="I670" s="6"/>
    </row>
    <row r="671" spans="9:9">
      <c r="I671" s="6"/>
    </row>
    <row r="672" spans="9:9">
      <c r="I672" s="6"/>
    </row>
    <row r="673" spans="9:9">
      <c r="I673" s="6"/>
    </row>
    <row r="674" spans="9:9">
      <c r="I674" s="6"/>
    </row>
    <row r="675" spans="9:9">
      <c r="I675" s="6"/>
    </row>
    <row r="676" spans="9:9">
      <c r="I676" s="6"/>
    </row>
    <row r="677" spans="9:9">
      <c r="I677" s="6"/>
    </row>
    <row r="678" spans="9:9">
      <c r="I678" s="6"/>
    </row>
    <row r="679" spans="9:9">
      <c r="I679" s="6"/>
    </row>
    <row r="680" spans="9:9">
      <c r="I680" s="6"/>
    </row>
    <row r="681" spans="9:9">
      <c r="I681" s="6"/>
    </row>
    <row r="682" spans="9:9">
      <c r="I682" s="6"/>
    </row>
    <row r="683" spans="9:9">
      <c r="I683" s="6"/>
    </row>
    <row r="684" spans="9:9">
      <c r="I684" s="6"/>
    </row>
    <row r="685" spans="9:9">
      <c r="I685" s="6"/>
    </row>
    <row r="686" spans="9:9">
      <c r="I686" s="6"/>
    </row>
    <row r="687" spans="9:9">
      <c r="I687" s="6"/>
    </row>
    <row r="688" spans="9:9">
      <c r="I688" s="6"/>
    </row>
    <row r="689" spans="9:9">
      <c r="I689" s="6"/>
    </row>
    <row r="690" spans="9:9">
      <c r="I690" s="6"/>
    </row>
    <row r="691" spans="9:9">
      <c r="I691" s="6"/>
    </row>
    <row r="692" spans="9:9">
      <c r="I692" s="6"/>
    </row>
    <row r="693" spans="9:9">
      <c r="I693" s="6"/>
    </row>
    <row r="694" spans="9:9">
      <c r="I694" s="6"/>
    </row>
    <row r="695" spans="9:9">
      <c r="I695" s="6"/>
    </row>
    <row r="696" spans="9:9">
      <c r="I696" s="6"/>
    </row>
    <row r="697" spans="9:9">
      <c r="I697" s="6"/>
    </row>
    <row r="698" spans="9:9">
      <c r="I698" s="6"/>
    </row>
    <row r="699" spans="9:9">
      <c r="I699" s="6"/>
    </row>
    <row r="700" spans="9:9">
      <c r="I700" s="6"/>
    </row>
    <row r="701" spans="9:9">
      <c r="I701" s="6"/>
    </row>
    <row r="702" spans="9:9">
      <c r="I702" s="6"/>
    </row>
    <row r="703" spans="9:9">
      <c r="I703" s="6"/>
    </row>
    <row r="704" spans="9:9">
      <c r="I704" s="6"/>
    </row>
    <row r="705" spans="9:9">
      <c r="I705" s="6"/>
    </row>
    <row r="706" spans="9:9">
      <c r="I706" s="6"/>
    </row>
    <row r="707" spans="9:9">
      <c r="I707" s="6"/>
    </row>
    <row r="708" spans="9:9">
      <c r="I708" s="6"/>
    </row>
    <row r="709" spans="9:9">
      <c r="I709" s="6"/>
    </row>
    <row r="710" spans="9:9">
      <c r="I710" s="6"/>
    </row>
    <row r="711" spans="9:9">
      <c r="I711" s="6"/>
    </row>
    <row r="712" spans="9:9">
      <c r="I712" s="6"/>
    </row>
    <row r="713" spans="9:9">
      <c r="I713" s="6"/>
    </row>
    <row r="714" spans="9:9">
      <c r="I714" s="6"/>
    </row>
    <row r="715" spans="9:9">
      <c r="I715" s="6"/>
    </row>
    <row r="716" spans="9:9">
      <c r="I716" s="6"/>
    </row>
    <row r="717" spans="9:9">
      <c r="I717" s="6"/>
    </row>
    <row r="718" spans="9:9">
      <c r="I718" s="6"/>
    </row>
    <row r="719" spans="9:9">
      <c r="I719" s="6"/>
    </row>
    <row r="720" spans="9:9">
      <c r="I720" s="6"/>
    </row>
    <row r="721" spans="9:9">
      <c r="I721" s="6"/>
    </row>
    <row r="722" spans="9:9">
      <c r="I722" s="6"/>
    </row>
    <row r="723" spans="9:9">
      <c r="I723" s="6"/>
    </row>
    <row r="724" spans="9:9">
      <c r="I724" s="6"/>
    </row>
    <row r="725" spans="9:9">
      <c r="I725" s="6"/>
    </row>
    <row r="726" spans="9:9">
      <c r="I726" s="6"/>
    </row>
    <row r="727" spans="9:9">
      <c r="I727" s="6"/>
    </row>
    <row r="728" spans="9:9">
      <c r="I728" s="6"/>
    </row>
    <row r="729" spans="9:9">
      <c r="I729" s="6"/>
    </row>
    <row r="730" spans="9:9">
      <c r="I730" s="6"/>
    </row>
    <row r="731" spans="9:9">
      <c r="I731" s="6"/>
    </row>
    <row r="732" spans="9:9">
      <c r="I732" s="6"/>
    </row>
    <row r="733" spans="9:9">
      <c r="I733" s="6"/>
    </row>
    <row r="734" spans="9:9">
      <c r="I734" s="6"/>
    </row>
    <row r="735" spans="9:9">
      <c r="I735" s="6"/>
    </row>
    <row r="736" spans="9:9">
      <c r="I736" s="6"/>
    </row>
    <row r="737" spans="9:9">
      <c r="I737" s="6"/>
    </row>
    <row r="738" spans="9:9">
      <c r="I738" s="6"/>
    </row>
    <row r="739" spans="9:9">
      <c r="I739" s="6"/>
    </row>
    <row r="740" spans="9:9">
      <c r="I740" s="6"/>
    </row>
    <row r="741" spans="9:9">
      <c r="I741" s="6"/>
    </row>
    <row r="742" spans="9:9">
      <c r="I742" s="6"/>
    </row>
    <row r="743" spans="9:9">
      <c r="I743" s="6"/>
    </row>
    <row r="744" spans="9:9">
      <c r="I744" s="6"/>
    </row>
    <row r="745" spans="9:9">
      <c r="I745" s="6"/>
    </row>
    <row r="746" spans="9:9">
      <c r="I746" s="6"/>
    </row>
    <row r="747" spans="9:9">
      <c r="I747" s="6"/>
    </row>
    <row r="748" spans="9:9">
      <c r="I748" s="6"/>
    </row>
    <row r="749" spans="9:9">
      <c r="I749" s="6"/>
    </row>
    <row r="750" spans="9:9">
      <c r="I750" s="6"/>
    </row>
    <row r="751" spans="9:9">
      <c r="I751" s="6"/>
    </row>
    <row r="752" spans="9:9">
      <c r="I752" s="6"/>
    </row>
    <row r="753" spans="9:9">
      <c r="I753" s="6"/>
    </row>
    <row r="754" spans="9:9">
      <c r="I754" s="6"/>
    </row>
    <row r="755" spans="9:9">
      <c r="I755" s="6"/>
    </row>
    <row r="756" spans="9:9">
      <c r="I756" s="6"/>
    </row>
    <row r="757" spans="9:9">
      <c r="I757" s="6"/>
    </row>
    <row r="758" spans="9:9">
      <c r="I758" s="6"/>
    </row>
    <row r="759" spans="9:9">
      <c r="I759" s="6"/>
    </row>
    <row r="760" spans="9:9">
      <c r="I760" s="6"/>
    </row>
    <row r="761" spans="9:9">
      <c r="I761" s="6"/>
    </row>
    <row r="762" spans="9:9">
      <c r="I762" s="6"/>
    </row>
    <row r="763" spans="9:9">
      <c r="I763" s="6"/>
    </row>
    <row r="764" spans="9:9">
      <c r="I764" s="6"/>
    </row>
    <row r="765" spans="9:9">
      <c r="I765" s="6"/>
    </row>
    <row r="766" spans="9:9">
      <c r="I766" s="6"/>
    </row>
    <row r="767" spans="9:9">
      <c r="I767" s="6"/>
    </row>
    <row r="768" spans="9:9">
      <c r="I768" s="6"/>
    </row>
    <row r="769" spans="9:9">
      <c r="I769" s="6"/>
    </row>
    <row r="770" spans="9:9">
      <c r="I770" s="6"/>
    </row>
    <row r="771" spans="9:9">
      <c r="I771" s="6"/>
    </row>
    <row r="772" spans="9:9">
      <c r="I772" s="6"/>
    </row>
    <row r="773" spans="9:9">
      <c r="I773" s="6"/>
    </row>
    <row r="774" spans="9:9">
      <c r="I774" s="6"/>
    </row>
    <row r="775" spans="9:9">
      <c r="I775" s="6"/>
    </row>
    <row r="776" spans="9:9">
      <c r="I776" s="6"/>
    </row>
    <row r="777" spans="9:9">
      <c r="I777" s="6"/>
    </row>
    <row r="778" spans="9:9">
      <c r="I778" s="6"/>
    </row>
    <row r="779" spans="9:9">
      <c r="I779" s="6"/>
    </row>
    <row r="780" spans="9:9">
      <c r="I780" s="6"/>
    </row>
    <row r="781" spans="9:9">
      <c r="I781" s="6"/>
    </row>
    <row r="782" spans="9:9">
      <c r="I782" s="6"/>
    </row>
    <row r="783" spans="9:9">
      <c r="I783" s="6"/>
    </row>
    <row r="784" spans="9:9">
      <c r="I784" s="6"/>
    </row>
    <row r="785" spans="9:9">
      <c r="I785" s="6"/>
    </row>
    <row r="786" spans="9:9">
      <c r="I786" s="6"/>
    </row>
    <row r="787" spans="9:9">
      <c r="I787" s="6"/>
    </row>
    <row r="788" spans="9:9">
      <c r="I788" s="6"/>
    </row>
    <row r="789" spans="9:9">
      <c r="I789" s="6"/>
    </row>
    <row r="790" spans="9:9">
      <c r="I790" s="6"/>
    </row>
    <row r="791" spans="9:9">
      <c r="I791" s="6"/>
    </row>
    <row r="792" spans="9:9">
      <c r="I792" s="6"/>
    </row>
    <row r="793" spans="9:9">
      <c r="I793" s="6"/>
    </row>
    <row r="794" spans="9:9">
      <c r="I794" s="6"/>
    </row>
    <row r="795" spans="9:9">
      <c r="I795" s="6"/>
    </row>
    <row r="796" spans="9:9">
      <c r="I796" s="6"/>
    </row>
    <row r="797" spans="9:9">
      <c r="I797" s="6"/>
    </row>
    <row r="798" spans="9:9">
      <c r="I798" s="6"/>
    </row>
    <row r="799" spans="9:9">
      <c r="I799" s="6"/>
    </row>
    <row r="800" spans="9:9">
      <c r="I800" s="6"/>
    </row>
    <row r="801" spans="9:9">
      <c r="I801" s="6"/>
    </row>
    <row r="802" spans="9:9">
      <c r="I802" s="6"/>
    </row>
    <row r="803" spans="9:9">
      <c r="I803" s="6"/>
    </row>
    <row r="804" spans="9:9">
      <c r="I804" s="6"/>
    </row>
    <row r="805" spans="9:9">
      <c r="I805" s="6"/>
    </row>
    <row r="806" spans="9:9">
      <c r="I806" s="6"/>
    </row>
    <row r="807" spans="9:9">
      <c r="I807" s="6"/>
    </row>
    <row r="808" spans="9:9">
      <c r="I808" s="6"/>
    </row>
    <row r="809" spans="9:9">
      <c r="I809" s="6"/>
    </row>
    <row r="810" spans="9:9">
      <c r="I810" s="6"/>
    </row>
    <row r="811" spans="9:9">
      <c r="I811" s="6"/>
    </row>
    <row r="812" spans="9:9">
      <c r="I812" s="6"/>
    </row>
    <row r="813" spans="9:9">
      <c r="I813" s="6"/>
    </row>
    <row r="814" spans="9:9">
      <c r="I814" s="6"/>
    </row>
    <row r="815" spans="9:9">
      <c r="I815" s="6"/>
    </row>
    <row r="816" spans="9:9">
      <c r="I816" s="6"/>
    </row>
    <row r="817" spans="9:9">
      <c r="I817" s="6"/>
    </row>
    <row r="818" spans="9:9">
      <c r="I818" s="6"/>
    </row>
    <row r="819" spans="9:9">
      <c r="I819" s="6"/>
    </row>
    <row r="820" spans="9:9">
      <c r="I820" s="6"/>
    </row>
    <row r="821" spans="9:9">
      <c r="I821" s="6"/>
    </row>
    <row r="822" spans="9:9">
      <c r="I822" s="6"/>
    </row>
    <row r="823" spans="9:9">
      <c r="I823" s="6"/>
    </row>
    <row r="824" spans="9:9">
      <c r="I824" s="6"/>
    </row>
    <row r="825" spans="9:9">
      <c r="I825" s="6"/>
    </row>
    <row r="826" spans="9:9">
      <c r="I826" s="6"/>
    </row>
    <row r="827" spans="9:9">
      <c r="I827" s="6"/>
    </row>
    <row r="828" spans="9:9">
      <c r="I828" s="6"/>
    </row>
    <row r="829" spans="9:9">
      <c r="I829" s="6"/>
    </row>
    <row r="830" spans="9:9">
      <c r="I830" s="6"/>
    </row>
    <row r="831" spans="9:9">
      <c r="I831" s="6"/>
    </row>
    <row r="832" spans="9:9">
      <c r="I832" s="6"/>
    </row>
    <row r="833" spans="9:9">
      <c r="I833" s="6"/>
    </row>
    <row r="834" spans="9:9">
      <c r="I834" s="6"/>
    </row>
    <row r="835" spans="9:9">
      <c r="I835" s="6"/>
    </row>
    <row r="836" spans="9:9">
      <c r="I836" s="6"/>
    </row>
    <row r="837" spans="9:9">
      <c r="I837" s="6"/>
    </row>
    <row r="838" spans="9:9">
      <c r="I838" s="6"/>
    </row>
    <row r="839" spans="9:9">
      <c r="I839" s="6"/>
    </row>
    <row r="840" spans="9:9">
      <c r="I840" s="6"/>
    </row>
    <row r="841" spans="9:9">
      <c r="I841" s="6"/>
    </row>
    <row r="842" spans="9:9">
      <c r="I842" s="6"/>
    </row>
    <row r="843" spans="9:9">
      <c r="I843" s="6"/>
    </row>
    <row r="844" spans="9:9">
      <c r="I844" s="6"/>
    </row>
    <row r="845" spans="9:9">
      <c r="I845" s="6"/>
    </row>
    <row r="846" spans="9:9">
      <c r="I846" s="6"/>
    </row>
    <row r="847" spans="9:9">
      <c r="I847" s="6"/>
    </row>
    <row r="848" spans="9:9">
      <c r="I848" s="6"/>
    </row>
    <row r="849" spans="9:9">
      <c r="I849" s="6"/>
    </row>
    <row r="850" spans="9:9">
      <c r="I850" s="6"/>
    </row>
    <row r="851" spans="9:9">
      <c r="I851" s="6"/>
    </row>
    <row r="852" spans="9:9">
      <c r="I852" s="6"/>
    </row>
    <row r="853" spans="9:9">
      <c r="I853" s="6"/>
    </row>
    <row r="854" spans="9:9">
      <c r="I854" s="6"/>
    </row>
    <row r="855" spans="9:9">
      <c r="I855" s="6"/>
    </row>
    <row r="856" spans="9:9">
      <c r="I856" s="6"/>
    </row>
    <row r="857" spans="9:9">
      <c r="I857" s="6"/>
    </row>
    <row r="858" spans="9:9">
      <c r="I858" s="6"/>
    </row>
    <row r="859" spans="9:9">
      <c r="I859" s="6"/>
    </row>
    <row r="860" spans="9:9">
      <c r="I860" s="6"/>
    </row>
    <row r="861" spans="9:9">
      <c r="I861" s="6"/>
    </row>
    <row r="862" spans="9:9">
      <c r="I862" s="6"/>
    </row>
    <row r="863" spans="9:9">
      <c r="I863" s="6"/>
    </row>
    <row r="864" spans="9:9">
      <c r="I864" s="6"/>
    </row>
    <row r="865" spans="9:9">
      <c r="I865" s="6"/>
    </row>
    <row r="866" spans="9:9">
      <c r="I866" s="6"/>
    </row>
    <row r="867" spans="9:9">
      <c r="I867" s="6"/>
    </row>
    <row r="868" spans="9:9">
      <c r="I868" s="6"/>
    </row>
    <row r="869" spans="9:9">
      <c r="I869" s="6"/>
    </row>
    <row r="870" spans="9:9">
      <c r="I870" s="6"/>
    </row>
    <row r="871" spans="9:9">
      <c r="I871" s="6"/>
    </row>
    <row r="872" spans="9:9">
      <c r="I872" s="6"/>
    </row>
    <row r="873" spans="9:9">
      <c r="I873" s="6"/>
    </row>
    <row r="874" spans="9:9">
      <c r="I874" s="6"/>
    </row>
    <row r="875" spans="9:9">
      <c r="I875" s="6"/>
    </row>
    <row r="876" spans="9:9">
      <c r="I876" s="6"/>
    </row>
    <row r="877" spans="9:9">
      <c r="I877" s="6"/>
    </row>
    <row r="878" spans="9:9">
      <c r="I878" s="6"/>
    </row>
    <row r="879" spans="9:9">
      <c r="I879" s="6"/>
    </row>
    <row r="880" spans="9:9">
      <c r="I880" s="6"/>
    </row>
    <row r="881" spans="9:9">
      <c r="I881" s="6"/>
    </row>
    <row r="882" spans="9:9">
      <c r="I882" s="6"/>
    </row>
    <row r="883" spans="9:9">
      <c r="I883" s="6"/>
    </row>
    <row r="884" spans="9:9">
      <c r="I884" s="6"/>
    </row>
    <row r="885" spans="9:9">
      <c r="I885" s="6"/>
    </row>
    <row r="886" spans="9:9">
      <c r="I886" s="6"/>
    </row>
    <row r="887" spans="9:9">
      <c r="I887" s="6"/>
    </row>
    <row r="888" spans="9:9">
      <c r="I888" s="6"/>
    </row>
    <row r="889" spans="9:9">
      <c r="I889" s="6"/>
    </row>
    <row r="890" spans="9:9">
      <c r="I890" s="6"/>
    </row>
    <row r="891" spans="9:9">
      <c r="I891" s="6"/>
    </row>
    <row r="892" spans="9:9">
      <c r="I892" s="6"/>
    </row>
    <row r="893" spans="9:9">
      <c r="I893" s="6"/>
    </row>
    <row r="894" spans="9:9">
      <c r="I894" s="6"/>
    </row>
    <row r="895" spans="9:9">
      <c r="I895" s="6"/>
    </row>
    <row r="896" spans="9:9">
      <c r="I896" s="6"/>
    </row>
    <row r="897" spans="9:9">
      <c r="I897" s="6"/>
    </row>
    <row r="898" spans="9:9">
      <c r="I898" s="6"/>
    </row>
    <row r="899" spans="9:9">
      <c r="I899" s="6"/>
    </row>
    <row r="900" spans="9:9">
      <c r="I900" s="6"/>
    </row>
    <row r="901" spans="9:9">
      <c r="I901" s="6"/>
    </row>
    <row r="902" spans="9:9">
      <c r="I902" s="6"/>
    </row>
    <row r="903" spans="9:9">
      <c r="I903" s="6"/>
    </row>
    <row r="904" spans="9:9">
      <c r="I904" s="6"/>
    </row>
    <row r="905" spans="9:9">
      <c r="I905" s="6"/>
    </row>
    <row r="906" spans="9:9">
      <c r="I906" s="6"/>
    </row>
    <row r="907" spans="9:9">
      <c r="I907" s="6"/>
    </row>
    <row r="908" spans="9:9">
      <c r="I908" s="6"/>
    </row>
    <row r="909" spans="9:9">
      <c r="I909" s="6"/>
    </row>
    <row r="910" spans="9:9">
      <c r="I910" s="6"/>
    </row>
    <row r="911" spans="9:9">
      <c r="I911" s="6"/>
    </row>
    <row r="912" spans="9:9">
      <c r="I912" s="6"/>
    </row>
    <row r="913" spans="9:9">
      <c r="I913" s="6"/>
    </row>
    <row r="914" spans="9:9">
      <c r="I914" s="6"/>
    </row>
    <row r="915" spans="9:9">
      <c r="I915" s="6"/>
    </row>
    <row r="916" spans="9:9">
      <c r="I916" s="6"/>
    </row>
    <row r="917" spans="9:9">
      <c r="I917" s="6"/>
    </row>
    <row r="918" spans="9:9">
      <c r="I918" s="6"/>
    </row>
    <row r="919" spans="9:9">
      <c r="I919" s="6"/>
    </row>
    <row r="920" spans="9:9">
      <c r="I920" s="6"/>
    </row>
    <row r="921" spans="9:9">
      <c r="I921" s="6"/>
    </row>
    <row r="922" spans="9:9">
      <c r="I922" s="6"/>
    </row>
    <row r="923" spans="9:9">
      <c r="I923" s="6"/>
    </row>
    <row r="924" spans="9:9">
      <c r="I924" s="6"/>
    </row>
    <row r="925" spans="9:9">
      <c r="I925" s="6"/>
    </row>
    <row r="926" spans="9:9">
      <c r="I926" s="6"/>
    </row>
    <row r="927" spans="9:9">
      <c r="I927" s="6"/>
    </row>
    <row r="928" spans="9:9">
      <c r="I928" s="6"/>
    </row>
    <row r="929" spans="9:9">
      <c r="I929" s="6"/>
    </row>
    <row r="930" spans="9:9">
      <c r="I930" s="6"/>
    </row>
    <row r="931" spans="9:9">
      <c r="I931" s="6"/>
    </row>
    <row r="932" spans="9:9">
      <c r="I932" s="6"/>
    </row>
    <row r="933" spans="9:9">
      <c r="I933" s="6"/>
    </row>
    <row r="934" spans="9:9">
      <c r="I934" s="6"/>
    </row>
    <row r="935" spans="9:9">
      <c r="I935" s="6"/>
    </row>
    <row r="936" spans="9:9">
      <c r="I936" s="6"/>
    </row>
    <row r="937" spans="9:9">
      <c r="I937" s="6"/>
    </row>
    <row r="938" spans="9:9">
      <c r="I938" s="6"/>
    </row>
    <row r="939" spans="9:9">
      <c r="I939" s="6"/>
    </row>
    <row r="940" spans="9:9">
      <c r="I940" s="6"/>
    </row>
    <row r="941" spans="9:9">
      <c r="I941" s="6"/>
    </row>
    <row r="942" spans="9:9">
      <c r="I942" s="6"/>
    </row>
    <row r="943" spans="9:9">
      <c r="I943" s="6"/>
    </row>
    <row r="944" spans="9:9">
      <c r="I944" s="6"/>
    </row>
    <row r="945" spans="9:9">
      <c r="I945" s="6"/>
    </row>
    <row r="946" spans="9:9">
      <c r="I946" s="6"/>
    </row>
    <row r="947" spans="9:9">
      <c r="I947" s="6"/>
    </row>
    <row r="948" spans="9:9">
      <c r="I948" s="6"/>
    </row>
    <row r="949" spans="9:9">
      <c r="I949" s="6"/>
    </row>
    <row r="950" spans="9:9">
      <c r="I950" s="6"/>
    </row>
    <row r="951" spans="9:9">
      <c r="I951" s="6"/>
    </row>
    <row r="952" spans="9:9">
      <c r="I952" s="6"/>
    </row>
    <row r="953" spans="9:9">
      <c r="I953" s="6"/>
    </row>
    <row r="954" spans="9:9">
      <c r="I954" s="6"/>
    </row>
    <row r="955" spans="9:9">
      <c r="I955" s="6"/>
    </row>
    <row r="956" spans="9:9">
      <c r="I956" s="6"/>
    </row>
    <row r="957" spans="9:9">
      <c r="I957" s="6"/>
    </row>
    <row r="958" spans="9:9">
      <c r="I958" s="6"/>
    </row>
    <row r="959" spans="9:9">
      <c r="I959" s="6"/>
    </row>
    <row r="960" spans="9:9">
      <c r="I960" s="6"/>
    </row>
    <row r="961" spans="9:9">
      <c r="I961" s="6"/>
    </row>
    <row r="962" spans="9:9">
      <c r="I962" s="6"/>
    </row>
    <row r="963" spans="9:9">
      <c r="I963" s="6"/>
    </row>
    <row r="964" spans="9:9">
      <c r="I964" s="6"/>
    </row>
    <row r="965" spans="9:9">
      <c r="I965" s="6"/>
    </row>
    <row r="966" spans="9:9">
      <c r="I966" s="6"/>
    </row>
    <row r="967" spans="9:9">
      <c r="I967" s="6"/>
    </row>
    <row r="968" spans="9:9">
      <c r="I968" s="6"/>
    </row>
    <row r="969" spans="9:9">
      <c r="I969" s="6"/>
    </row>
    <row r="970" spans="9:9">
      <c r="I970" s="6"/>
    </row>
    <row r="971" spans="9:9">
      <c r="I971" s="6"/>
    </row>
    <row r="972" spans="9:9">
      <c r="I972" s="6"/>
    </row>
    <row r="973" spans="9:9">
      <c r="I973" s="6"/>
    </row>
    <row r="974" spans="9:9">
      <c r="I974" s="6"/>
    </row>
    <row r="975" spans="9:9">
      <c r="I975" s="6"/>
    </row>
    <row r="976" spans="9:9">
      <c r="I976" s="6"/>
    </row>
    <row r="977" spans="9:9">
      <c r="I977" s="6"/>
    </row>
    <row r="978" spans="9:9">
      <c r="I978" s="6"/>
    </row>
    <row r="979" spans="9:9">
      <c r="I979" s="6"/>
    </row>
    <row r="980" spans="9:9">
      <c r="I980" s="6"/>
    </row>
    <row r="981" spans="9:9">
      <c r="I981" s="6"/>
    </row>
    <row r="982" spans="9:9">
      <c r="I982" s="6"/>
    </row>
    <row r="983" spans="9:9">
      <c r="I983" s="6"/>
    </row>
    <row r="984" spans="9:9">
      <c r="I984" s="6"/>
    </row>
    <row r="985" spans="9:9">
      <c r="I985" s="6"/>
    </row>
    <row r="986" spans="9:9">
      <c r="I986" s="6"/>
    </row>
    <row r="987" spans="9:9">
      <c r="I987" s="6"/>
    </row>
    <row r="988" spans="9:9">
      <c r="I988" s="6"/>
    </row>
    <row r="989" spans="9:9">
      <c r="I989" s="6"/>
    </row>
    <row r="990" spans="9:9">
      <c r="I990" s="6"/>
    </row>
    <row r="991" spans="9:9">
      <c r="I991" s="6"/>
    </row>
    <row r="992" spans="9:9">
      <c r="I992" s="6"/>
    </row>
    <row r="993" spans="9:9">
      <c r="I993" s="6"/>
    </row>
    <row r="994" spans="9:9">
      <c r="I994" s="6"/>
    </row>
    <row r="995" spans="9:9">
      <c r="I995" s="6"/>
    </row>
    <row r="996" spans="9:9">
      <c r="I996" s="6"/>
    </row>
    <row r="997" spans="9:9">
      <c r="I997" s="6"/>
    </row>
    <row r="998" spans="9:9">
      <c r="I998" s="6"/>
    </row>
    <row r="999" spans="9:9">
      <c r="I999" s="6"/>
    </row>
    <row r="1000" spans="9:9">
      <c r="I1000" s="6"/>
    </row>
    <row r="1001" spans="9:9">
      <c r="I1001" s="6"/>
    </row>
    <row r="1002" spans="9:9">
      <c r="I1002" s="6"/>
    </row>
    <row r="1003" spans="9:9">
      <c r="I1003" s="6"/>
    </row>
    <row r="1004" spans="9:9">
      <c r="I1004" s="6"/>
    </row>
    <row r="1005" spans="9:9">
      <c r="I1005" s="6"/>
    </row>
    <row r="1006" spans="9:9">
      <c r="I1006" s="6"/>
    </row>
    <row r="1007" spans="9:9">
      <c r="I1007" s="6"/>
    </row>
    <row r="1008" spans="9:9">
      <c r="I1008" s="6"/>
    </row>
  </sheetData>
  <mergeCells count="2">
    <mergeCell ref="A1:O1"/>
    <mergeCell ref="A2:O2"/>
  </mergeCells>
  <dataValidations count="3">
    <dataValidation type="list" allowBlank="1" showInputMessage="1" showErrorMessage="1" errorTitle="Use a controlled value" error="Select a value from the drop-down list." sqref="J15:J1008 L6:L14" xr:uid="{3936C1EA-E3A9-4FC6-90D6-B9B7BBCA0CAA}">
      <formula1>CV_YesNo</formula1>
    </dataValidation>
    <dataValidation type="list" allowBlank="1" showInputMessage="1" showErrorMessage="1" errorTitle="Use a controlled value" error="Select a value from the drop-down list." sqref="L15:L1008 N6:N14" xr:uid="{1A3AA48D-7AB0-48BF-8C39-CFAB7C1A8C60}">
      <formula1>CV_ReviewStatus</formula1>
    </dataValidation>
    <dataValidation type="list" allowBlank="1" showInputMessage="1" showErrorMessage="1" errorTitle="Use a controlled value" error="Select a value from the drop-down list." sqref="H15:H1008 I6:I14" xr:uid="{811CCE3B-B2E4-45FB-BAFA-BF56F22DD463}">
      <formula1>CV_InitiativeStatus</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38E71-B70B-40B0-80D7-A279542014DE}">
  <dimension ref="A1:D62"/>
  <sheetViews>
    <sheetView topLeftCell="A25" workbookViewId="0">
      <selection activeCell="A7" sqref="A7:XFD27"/>
    </sheetView>
  </sheetViews>
  <sheetFormatPr defaultColWidth="9.109375" defaultRowHeight="14.4"/>
  <cols>
    <col min="1" max="2" width="48.109375" style="2" customWidth="1"/>
    <col min="3" max="3" width="88" style="2" customWidth="1"/>
    <col min="4" max="4" width="79.5546875" style="2" customWidth="1"/>
    <col min="5" max="16384" width="9.109375" style="2"/>
  </cols>
  <sheetData>
    <row r="1" spans="1:4" ht="30">
      <c r="A1" s="39" t="s">
        <v>1168</v>
      </c>
      <c r="B1" s="2" t="s">
        <v>1169</v>
      </c>
    </row>
    <row r="4" spans="1:4">
      <c r="A4" s="1" t="s">
        <v>180</v>
      </c>
      <c r="B4" s="1" t="s">
        <v>183</v>
      </c>
      <c r="C4" s="1" t="s">
        <v>1170</v>
      </c>
      <c r="D4" s="1" t="s">
        <v>1171</v>
      </c>
    </row>
    <row r="5" spans="1:4" ht="129.6">
      <c r="A5" s="2" t="str">
        <f>'Q3_Top problems'!A11</f>
        <v>WS1-P013</v>
      </c>
      <c r="B5" s="2" t="str">
        <f>'Q3_Top problems'!D11</f>
        <v>Scattered guidance and support information</v>
      </c>
      <c r="C5" s="2" t="str">
        <f>'Q3_Top problems'!L11</f>
        <v>PI-RTR-002 Unified Production Environment: Production knowledge is part of its scope and could make guidance more consistent, although a single entry point for all support, education, and onboarding information is not explicitly evidenced.
PI-RTR-003 Transforming Document Management: A fit-for-purpose document-management system and revised processes can improve the organisation of document-management guidance, but not all software, education, and working-method information.
PI-RTR-006 Software processes &amp; portal: Directly addresses employee software journeys, software requests, and production-software support flows, responding to scattered software guidance and support information.</v>
      </c>
      <c r="D5" s="2" t="str">
        <f>'Q3_Top problems'!M11</f>
        <v>ESP-S002 ProjectWise manager guide and standards portal (Denmark)
ESP-S005 CAD project manual and transport standards portal (Denmark)
ESP-S006 Teams-based product information and support channel (Denmark)
ESP-S011 Transport software standards portal and Teams communication channels (Finland)
ESP-S012 Super-user network and office roadshow support model (Finland)
ESP-S017 Project SharePoint/Teams information hub (Norway)
ESP-S023 Project Hub (SharePoint coordination layer) (Sweden)</v>
      </c>
    </row>
    <row r="6" spans="1:4" ht="28.8">
      <c r="A6" s="2" t="str">
        <f>'Q3_Top problems'!A12</f>
        <v>WS1-P008</v>
      </c>
      <c r="B6" s="2" t="str">
        <f>'Q3_Top problems'!D12</f>
        <v>Digital risks identified too late</v>
      </c>
      <c r="C6" s="2" t="str">
        <f>'Q3_Top problems'!L12</f>
        <v>N/A</v>
      </c>
      <c r="D6" s="2" t="str">
        <f>'Q3_Top problems'!M12</f>
        <v>ESP-S024 Early-phase digital delivery manager involvement (UK&amp;I)
ESP-S025 Digital fit assessment (UK&amp;I)</v>
      </c>
    </row>
    <row r="7" spans="1:4" ht="57.6">
      <c r="A7" s="2" t="str">
        <f>'Q3_Top problems'!A13</f>
        <v>WS1-P027</v>
      </c>
      <c r="B7" s="2" t="str">
        <f>'Q3_Top problems'!D13</f>
        <v>Consistency across departments in terms of digital plan and focus, lack of HoD KPI's supporting improvements in the digital space</v>
      </c>
      <c r="C7" s="2" t="str">
        <f>'Q3_Top problems'!L13</f>
        <v>PI-RTR-007 Building our Project Management and Delivery department within Major Projects: Its department-building, geographic expansion, delivery focus, and Major Projects Handbook can provide stronger common direction within Major Projects, but do not evidence aligned priorities and performance measures across all Transport departments.</v>
      </c>
      <c r="D7" s="2" t="str">
        <f>'Q3_Top problems'!M13</f>
        <v>N/A</v>
      </c>
    </row>
    <row r="8" spans="1:4" ht="201.6">
      <c r="A8" s="2" t="str">
        <f>'Q3_Top problems'!A14</f>
        <v>WS1-P018</v>
      </c>
      <c r="B8" s="2" t="str">
        <f>'Q3_Top problems'!D14</f>
        <v>Project standards not fully implemented</v>
      </c>
      <c r="C8" s="2" t="str">
        <f>'Q3_Top problems'!L14</f>
        <v>PI-RTR-001 RTR Software Standardisation Exercise: Can support consistent software choices, but does not directly implement project models, folder structures, templates, or standards.
PI-RTR-002 Unified Production Environment: Alignment of production processes, knowledge, platforms, and environments supports practical implementation of consistent project standards and ways of working.
PI-RTR-003 Transforming Document Management: Process revision, system implementation, and behavioural adoption directly support implementation of document-management standards, although not all project-production standards.
PI-RTR-007 Building our Project Management and Delivery department within Major Projects: The harmonised delivery focus and Major Projects Handbook can support implementation of common delivery practices, but the documented scope does not specifically cover digital models or folder standards.</v>
      </c>
      <c r="D8" s="2" t="str">
        <f>'Q3_Top problems'!M14</f>
        <v>ESP-S001 ProjectWise manager governance model (Denmark)
ESP-S003 ProjectWise for production - RAMDK (Denmark)
ESP-S004 Managed workspace in ProjectWise (Denmark)
ESP-S005 CAD project manual and transport standards portal (Denmark)
ESP-S008 Quadri / Trimble Connect project environment (Finland)
ESP-S009 Finnish configuration packages for design tools (Finland)
ESP-S010 Forma pilot with discipline templates (Finland)
ESP-S011 Transport software standards portal and Teams communication channels (Finland)
ESP-S012 Super-user network and office roadshow support model (Finland)
ESP-S019 CAD Configuration / Configuration Switch (Sweden)
ESP-S020 Metadata and Naming + Managed Workspaces (Sweden)
ESP-S023 Project Hub (SharePoint coordination layer) (Sweden)
ESP-S026 ISO 19650-aligned ProjectWise deployment model (UK&amp;I)
ESP-S027 ProjectWise build sheet and staged mobilisation checks (UK&amp;I)</v>
      </c>
    </row>
    <row r="9" spans="1:4" ht="86.4">
      <c r="A9" s="2" t="str">
        <f>'Q3_Top problems'!A15</f>
        <v>WS1-P020</v>
      </c>
      <c r="B9" s="2" t="str">
        <f>'Q3_Top problems'!D15</f>
        <v>Limited cross-country innovation sharing</v>
      </c>
      <c r="C9" s="2" t="str">
        <f>'Q3_Top problems'!L15</f>
        <v>PI-RTR-002 Unified Production Environment: Shared production knowledge can improve cross-country exchange of methods and solutions, although dedicated innovation-sharing arenas and tender application are not explicit.
PI-RTR-005 Script Sharing Platform rollout and scaling: Makes reusable engineering automation assets visible across teams and geographies, directly improving sharing of one important category of production innovation, although it does not cover all types of innovation or tender collaboration.</v>
      </c>
      <c r="D9" s="2" t="str">
        <f>'Q3_Top problems'!M15</f>
        <v>N/A</v>
      </c>
    </row>
    <row r="10" spans="1:4">
      <c r="A10" s="2" t="str">
        <f>'Q3_Top problems'!A16</f>
        <v>WS1-P004</v>
      </c>
      <c r="B10" s="2" t="str">
        <f>'Q3_Top problems'!D16</f>
        <v>Confidentiality restricts work sharing with REC</v>
      </c>
      <c r="C10" s="2" t="str">
        <f>'Q3_Top problems'!L16</f>
        <v>N/A</v>
      </c>
      <c r="D10" s="2" t="str">
        <f>'Q3_Top problems'!M16</f>
        <v>N/A</v>
      </c>
    </row>
    <row r="11" spans="1:4" ht="100.8">
      <c r="A11" s="2" t="str">
        <f>'Q3_Top problems'!A17</f>
        <v>WS1-P019</v>
      </c>
      <c r="B11" s="2" t="str">
        <f>'Q3_Top problems'!D17</f>
        <v>Coordination challenges in multidisciplinary projects</v>
      </c>
      <c r="C11" s="2" t="str">
        <f>'Q3_Top problems'!L17</f>
        <v>PI-RTR-002 Unified Production Environment: Shared production platforms and environments can reduce digital coordination friction across disciplines and business units, although multidisciplinary management is broader than its technical scope.
PI-RTR-007 Building our Project Management and Delivery department within Major Projects: Building geographically distributed project-management and delivery capability directly responds to coordination and harmonisation challenges in complex multidisciplinary projects.</v>
      </c>
      <c r="D11" s="2" t="str">
        <f>'Q3_Top problems'!M17</f>
        <v>ESP-S005 CAD project manual and transport standards portal (Denmark)
ESP-S013 Integrated multi-platform project environment (Norway)
ESP-S014 BIMbot model exchange and automation layer (Norway)
ESP-S017 Project SharePoint/Teams information hub (Norway)
ESP-S023 Project Hub (SharePoint coordination layer) (Sweden)
ESP-S024 Early-phase digital delivery manager involvement (UK&amp;I)
ESP-S026 ISO 19650-aligned ProjectWise deployment model (UK&amp;I)</v>
      </c>
    </row>
    <row r="12" spans="1:4" ht="158.4">
      <c r="A12" s="2" t="str">
        <f>'Q3_Top problems'!A18</f>
        <v>WS1-P014</v>
      </c>
      <c r="B12" s="2" t="str">
        <f>'Q3_Top problems'!D18</f>
        <v>Confusion from multiple project platforms</v>
      </c>
      <c r="C12" s="2" t="str">
        <f>'Q3_Top problems'!L18</f>
        <v>PI-RTR-001 RTR Software Standardisation Exercise: Identifying software overlaps and rationalisation opportunities can reduce platform proliferation, although it does not define a single project-platform model.
PI-RTR-002 Unified Production Environment: Its objective of aligning supported production platforms and streamlining project environments directly responds to confusion created by multiple platforms.
PI-RTR-003 Transforming Document Management: Establishing a fit-for-purpose document-management system can reduce ambiguity concerning document-management platforms, but not the wider project-platform landscape.
PI-RTR-006 Software processes &amp; portal: Better software-portfolio governance and employee software journeys can clarify which software and services should be used, although this is not full platform consolidation.</v>
      </c>
      <c r="D12" s="2" t="str">
        <f>'Q3_Top problems'!M18</f>
        <v>ESP-S013 Integrated multi-platform project environment (Norway)
ESP-S017 Project SharePoint/Teams information hub (Norway)
ESP-S023 Project Hub (SharePoint coordination layer) (Sweden)
ESP-S024 Early-phase digital delivery manager involvement (UK&amp;I)
ESP-S025 Digital fit assessment (UK&amp;I)</v>
      </c>
    </row>
    <row r="13" spans="1:4" ht="115.2">
      <c r="A13" s="2" t="str">
        <f>'Q3_Top problems'!A19</f>
        <v>WS1-P015</v>
      </c>
      <c r="B13" s="2" t="str">
        <f>'Q3_Top problems'!D19</f>
        <v>Inefficient file exchange between vendors</v>
      </c>
      <c r="C13" s="2" t="str">
        <f>'Q3_Top problems'!L19</f>
        <v>PI-RTR-001 RTR Software Standardisation Exercise: Improved interoperability and software standardisation can reduce cross-vendor exchange friction, but the initiative does not establish file-exchange agreements, native-file rules, or automated exchange processes.
PI-RTR-002 Unified Production Environment: Interoperability and streamlined production environments directly respond to recurring exchange problems between vendor ecosystems, although detailed format and native-file rules remain necessary.
PI-RTR-003 Transforming Document Management: Revised document-management processes can improve control of exchanged files and documents, but do not resolve full design-tool interoperability.</v>
      </c>
      <c r="D13" s="2" t="str">
        <f>'Q3_Top problems'!M19</f>
        <v>ESP-S013 Integrated multi-platform project environment (Norway)
ESP-S014 BIMbot model exchange and automation layer (Norway)</v>
      </c>
    </row>
    <row r="14" spans="1:4" ht="115.2">
      <c r="A14" s="2" t="str">
        <f>'Q3_Top problems'!A20</f>
        <v>WS1-P002</v>
      </c>
      <c r="B14" s="2" t="str">
        <f>'Q3_Top problems'!D20</f>
        <v>Barriers to scaling internally developed tools</v>
      </c>
      <c r="C14" s="2" t="str">
        <f>'Q3_Top problems'!L20</f>
        <v>PI-RTR-004 Enabling Citizen Development: Its discovery, tooling, enablement, and pilot work can reduce barriers to developing supported internal solutions, although it does not evidence a complete publishing and product-management pathway.
PI-RTR-005 Script Sharing Platform rollout and scaling: Directly provides a governed way to publish, discover, reuse, and scale internally developed scripts, plugins, and visual-programming solutions.
PI-RTR-006 Software processes &amp; portal: Improved software governance, employee journeys, and request workflows may support access to approved tooling, but only partly address publication and scaling of internally developed tools.</v>
      </c>
      <c r="D14" s="2" t="str">
        <f>'Q3_Top problems'!M20</f>
        <v>N/A</v>
      </c>
    </row>
    <row r="15" spans="1:4" ht="72">
      <c r="A15" s="2" t="str">
        <f>'Q3_Top problems'!A21</f>
        <v>WS1-P016</v>
      </c>
      <c r="B15" s="2" t="str">
        <f>'Q3_Top problems'!D21</f>
        <v>Misaligned setups across software vendors</v>
      </c>
      <c r="C15" s="2" t="str">
        <f>'Q3_Top problems'!L21</f>
        <v>PI-RTR-001 RTR Software Standardisation Exercise: Directly analyses software overlaps and interoperability as a basis for standardisation, responding to inconsistent and misaligned multi-vendor setups.
PI-RTR-002 Unified Production Environment: Aligning supported production platforms and interoperability directly addresses standard setups that are not aligned between software vendors.</v>
      </c>
      <c r="D15" s="2" t="str">
        <f>'Q3_Top problems'!M21</f>
        <v>ESP-S004 Managed workspace in ProjectWise (Denmark)
ESP-S009 Finnish configuration packages for design tools (Finland)
ESP-S013 Integrated multi-platform project environment (Norway)
ESP-S019 CAD Configuration / Configuration Switch (Sweden)
ESP-S020 Metadata and Naming + Managed Workspaces (Sweden)</v>
      </c>
    </row>
    <row r="16" spans="1:4" ht="72">
      <c r="A16" s="2" t="str">
        <f>'Q3_Top problems'!A22</f>
        <v>WS1-P006</v>
      </c>
      <c r="B16" s="2" t="str">
        <f>'Q3_Top problems'!D22</f>
        <v>Inconsistent data setup across tools</v>
      </c>
      <c r="C16" s="2" t="str">
        <f>'Q3_Top problems'!L22</f>
        <v>PI-RTR-001 RTR Software Standardisation Exercise: Its analysis of software overlaps and interoperability can address part of the inconsistent cross-tool setup, but not the full requirement for dynamically controlled and synchronised project data.
PI-RTR-002 Unified Production Environment: Directly targets supported production platforms, interoperability, and data governance, responding to inconsistent data setup across tools.</v>
      </c>
      <c r="D16" s="2" t="str">
        <f>'Q3_Top problems'!M22</f>
        <v>ESP-S014 BIMbot model exchange and automation layer (Norway)
ESP-S018 Asset coding and IFC 4x3 delivery pattern (Norway)
ESP-S030 SPOT Workflow (Major Projects)
ESP-S031 CODA Data Dictionary (CDD) (Major Projects)
ESP-S032 BSDD testing / mapping (Major Projects)</v>
      </c>
    </row>
    <row r="17" spans="1:4" ht="100.8">
      <c r="A17" s="2" t="str">
        <f>'Q3_Top problems'!A23</f>
        <v>WS1-P007</v>
      </c>
      <c r="B17" s="2" t="str">
        <f>'Q3_Top problems'!D23</f>
        <v>Inconsistent naming and data structures</v>
      </c>
      <c r="C17" s="2" t="str">
        <f>'Q3_Top problems'!L23</f>
        <v>PI-RTR-001 RTR Software Standardisation Exercise: Software standardisation and interoperability analysis can reduce differences between tool conventions, but do not by themselves establish a unified naming and data strategy.
PI-RTR-002 Unified Production Environment: Its data-governance and interoperability scope directly addresses fragmented data structures and poor reuse across production tools.</v>
      </c>
      <c r="D17" s="2" t="str">
        <f>'Q3_Top problems'!M23</f>
        <v>ESP-S005 CAD project manual and transport standards portal (Denmark)
ESP-S007 Client-led data management and modelling instruction model (Finland)
ESP-S015 Model Maturity Index (MMI) and property set standard (Norway)
ESP-S018 Asset coding and IFC 4x3 delivery pattern (Norway)
ESP-S020 Metadata and Naming + Managed Workspaces (Sweden)
ESP-S031 CODA Data Dictionary (CDD) (Major Projects)
ESP-S032 BSDD testing / mapping (Major Projects)</v>
      </c>
    </row>
    <row r="18" spans="1:4" ht="72">
      <c r="A18" s="2" t="str">
        <f>'Q3_Top problems'!A24</f>
        <v>WS1-P003</v>
      </c>
      <c r="B18" s="2" t="str">
        <f>'Q3_Top problems'!D24</f>
        <v>Uncoordinated citizen-developed AI tools</v>
      </c>
      <c r="C18" s="2" t="str">
        <f>'Q3_Top problems'!L24</f>
        <v>PI-RTR-004 Enabling Citizen Development: Directly addresses fragmented citizen development through common enablement, governance, tooling, and safe supported approaches.
PI-RTR-005 Script Sharing Platform rollout and scaling: A shared governed platform can reduce duplicated and disconnected automation development by making reusable assets visible and available across teams, although it does not by itself resolve legacy-system integration.</v>
      </c>
      <c r="D18" s="2" t="str">
        <f>'Q3_Top problems'!M24</f>
        <v>N/A</v>
      </c>
    </row>
    <row r="19" spans="1:4" ht="86.4">
      <c r="A19" s="2" t="str">
        <f>'Q3_Top problems'!A25</f>
        <v>WS1-P022</v>
      </c>
      <c r="B19" s="2" t="str">
        <f>'Q3_Top problems'!D25</f>
        <v>Automation difficult to understand and reuse</v>
      </c>
      <c r="C19" s="2" t="str">
        <f>'Q3_Top problems'!L25</f>
        <v>PI-RTR-004 Enabling Citizen Development: Common enablement and governance can make citizen-developed solutions more reusable and understandable, although localisation and reusable documentation mechanisms are not explicit.
PI-RTR-005 Script Sharing Platform rollout and scaling: Directly addresses difficulty finding and reusing internally developed automation assets by providing a governed sharing platform, although adaptation to different country contexts remains outside the documented scope.</v>
      </c>
      <c r="D19" s="2" t="str">
        <f>'Q3_Top problems'!M25</f>
        <v>ESP-S030 SPOT Workflow (Major Projects)
ESP-S031 CODA Data Dictionary (CDD) (Major Projects)</v>
      </c>
    </row>
    <row r="20" spans="1:4" ht="86.4">
      <c r="A20" s="2" t="str">
        <f>'Q3_Top problems'!A26</f>
        <v>WS1-P023</v>
      </c>
      <c r="B20" s="2" t="str">
        <f>'Q3_Top problems'!D26</f>
        <v>Underuse of modern modelling features</v>
      </c>
      <c r="C20" s="2" t="str">
        <f>'Q3_Top problems'!L26</f>
        <v>PI-RTR-001 RTR Software Standardisation Exercise: May identify redundant tools and standard vendor capabilities that are currently underused, but does not directly provide training or drive user adoption of modern features.
PI-RTR-006 Software processes &amp; portal: Improved production-software support flows and employee software journeys can help users access current capabilities and support, but feature-specific competence development is not explicitly evidenced.</v>
      </c>
      <c r="D20" s="2" t="str">
        <f>'Q3_Top problems'!M26</f>
        <v>ESP-S006 Teams-based product information and support channel (Denmark)
ESP-S011 Transport software standards portal and Teams communication channels (Finland)
ESP-S012 Super-user network and office roadshow support model (Finland)</v>
      </c>
    </row>
    <row r="21" spans="1:4" ht="57.6">
      <c r="A21" s="2" t="str">
        <f>'Q3_Top problems'!A27</f>
        <v>WS1-P025</v>
      </c>
      <c r="B21" s="2" t="str">
        <f>'Q3_Top problems'!D27</f>
        <v>Current commercial model acts as blocker to digital resources and innovation</v>
      </c>
      <c r="C21" s="2" t="str">
        <f>'Q3_Top problems'!L27</f>
        <v>PI-RTR-007 Building our Project Management and Delivery department within Major Projects: Building a recognised delivery department may improve the organisational visibility and resourcing of specialist delivery roles, but the documented initiative does not establish changes to pricing or commercial models for digital roles and innovation.</v>
      </c>
      <c r="D21" s="2" t="str">
        <f>'Q3_Top problems'!M27</f>
        <v>N/A</v>
      </c>
    </row>
    <row r="22" spans="1:4" ht="100.8">
      <c r="A22" s="2" t="str">
        <f>'Q3_Top problems'!A28</f>
        <v>WS1-P010</v>
      </c>
      <c r="B22" s="2" t="str">
        <f>'Q3_Top problems'!D28</f>
        <v>Weak change tracking in data-centric workflows</v>
      </c>
      <c r="C22" s="2" t="str">
        <f>'Q3_Top problems'!L28</f>
        <v>PI-RTR-002 Unified Production Environment: Data governance and data-centric delivery support more controlled handling of project data, but the documented scope does not establish detailed change tracking, validation, and communication controls.
PI-RTR-003 Transforming Document Management: Redesigning document-management processes and implementing a fit-for-purpose document-management system directly address controlled revision and management of document-based changes, although not necessarily all data-centric changes across engineering tools.</v>
      </c>
      <c r="D22" s="2" t="str">
        <f>'Q3_Top problems'!M28</f>
        <v>ESP-S026 ISO 19650-aligned ProjectWise deployment model (UK&amp;I)
ESP-S028 ProjectWise dashboards and Teams reporting (UK&amp;I)
ESP-S030 SPOT Workflow (Major Projects)</v>
      </c>
    </row>
    <row r="23" spans="1:4" ht="115.2">
      <c r="A23" s="2" t="str">
        <f>'Q3_Top problems'!A29</f>
        <v>WS1-P024</v>
      </c>
      <c r="B23" s="2" t="str">
        <f>'Q3_Top problems'!D29</f>
        <v>Uneven digital-requirements competence</v>
      </c>
      <c r="C23" s="2" t="str">
        <f>'Q3_Top problems'!L29</f>
        <v>PI-RTR-002 Unified Production Environment: Shared production knowledge and aligned platforms can reduce variation in digital-delivery competence, but a targeted competence programme for digital requirements is not explicitly evidenced.
PI-RTR-007 Building our Project Management and Delivery department within Major Projects: Building geographically distributed delivery capability can strengthen competence for reliable project delivery, but only partly addresses knowledge of digital formats, requirements, and collaboration tools.</v>
      </c>
      <c r="D23" s="2" t="str">
        <f>'Q3_Top problems'!M29</f>
        <v>ESP-S005 CAD project manual and transport standards portal (Denmark)
ESP-S007 Client-led data management and modelling instruction model (Finland)
ESP-S011 Transport software standards portal and Teams communication channels (Finland)
ESP-S012 Super-user network and office roadshow support model (Finland)
ESP-S017 Project SharePoint/Teams information hub (Norway)
ESP-S023 Project Hub (SharePoint coordination layer) (Sweden)
ESP-S024 Early-phase digital delivery manager involvement (UK&amp;I)
ESP-S025 Digital fit assessment (UK&amp;I)</v>
      </c>
    </row>
    <row r="24" spans="1:4" ht="57.6">
      <c r="A24" s="2" t="str">
        <f>'Q3_Top problems'!A30</f>
        <v>WS1-P005</v>
      </c>
      <c r="B24" s="2" t="str">
        <f>'Q3_Top problems'!D30</f>
        <v>Client restrictions on AI and cross-border resources</v>
      </c>
      <c r="C24" s="2" t="str">
        <f>'Q3_Top problems'!L30</f>
        <v>N/A</v>
      </c>
      <c r="D24" s="2" t="str">
        <f>'Q3_Top problems'!M30</f>
        <v>ESP-S007 Client-led data management and modelling instruction model (Finland)
ESP-S024 Early-phase digital delivery manager involvement (UK&amp;I)
ESP-S025 Digital fit assessment (UK&amp;I)
ESP-S026 ISO 19650-aligned ProjectWise deployment model (UK&amp;I)</v>
      </c>
    </row>
    <row r="25" spans="1:4" ht="129.6">
      <c r="A25" s="2" t="str">
        <f>'Q3_Top problems'!A31</f>
        <v>WS1-P021</v>
      </c>
      <c r="B25" s="2" t="str">
        <f>'Q3_Top problems'!D31</f>
        <v>No path from prototype to managed product</v>
      </c>
      <c r="C25" s="2" t="str">
        <f>'Q3_Top problems'!L31</f>
        <v>PI-RTR-004 Enabling Citizen Development: Supported tooling, governance, and pilots can help citizen-developed solutions progress beyond individual experimentation, although a complete managed-product handover and ownership model is not evidenced.
PI-RTR-005 Script Sharing Platform rollout and scaling: Provides a live governed environment through which automation assets can be shared, reused, and scaled beyond their originating project, although full lifecycle ownership and maintenance are not explicitly evidenced.
PI-RTR-006 Software processes &amp; portal: Governance and request workflows may support the transition of tools into managed services, but the documented scope does not establish a full prototype-to-product lifecycle.</v>
      </c>
      <c r="D25" s="2" t="str">
        <f>'Q3_Top problems'!M31</f>
        <v>N/A</v>
      </c>
    </row>
    <row r="26" spans="1:4">
      <c r="A26" s="2" t="str">
        <f>'Q3_Top problems'!A32</f>
        <v>WS1-P009</v>
      </c>
      <c r="B26" s="2" t="str">
        <f>'Q3_Top problems'!D32</f>
        <v>Insufficient live project performance data</v>
      </c>
      <c r="C26" s="2" t="str">
        <f>'Q3_Top problems'!L32</f>
        <v>N/A</v>
      </c>
      <c r="D26" s="2" t="str">
        <f>'Q3_Top problems'!M32</f>
        <v>ESP-S028 ProjectWise dashboards and Teams reporting (UK&amp;I)</v>
      </c>
    </row>
    <row r="27" spans="1:4">
      <c r="A27" s="2">
        <f>'Q3_Top problems'!A33</f>
        <v>0</v>
      </c>
      <c r="B27" s="2">
        <f>'Q3_Top problems'!D33</f>
        <v>0</v>
      </c>
      <c r="C27" s="2">
        <f>'Q3_Top problems'!L33</f>
        <v>0</v>
      </c>
      <c r="D27" s="2">
        <f>'Q3_Top problems'!M33</f>
        <v>0</v>
      </c>
    </row>
    <row r="28" spans="1:4">
      <c r="A28" s="2">
        <f>'Q3_Top problems'!A34</f>
        <v>0</v>
      </c>
      <c r="B28" s="2">
        <f>'Q3_Top problems'!D34</f>
        <v>0</v>
      </c>
      <c r="C28" s="2">
        <f>'Q3_Top problems'!L34</f>
        <v>0</v>
      </c>
      <c r="D28" s="2">
        <f>'Q3_Top problems'!M34</f>
        <v>0</v>
      </c>
    </row>
    <row r="29" spans="1:4">
      <c r="A29" s="2">
        <f>'Q3_Top problems'!A35</f>
        <v>0</v>
      </c>
      <c r="B29" s="2">
        <f>'Q3_Top problems'!D35</f>
        <v>0</v>
      </c>
      <c r="C29" s="2">
        <f>'Q3_Top problems'!L35</f>
        <v>0</v>
      </c>
      <c r="D29" s="2">
        <f>'Q3_Top problems'!M35</f>
        <v>0</v>
      </c>
    </row>
    <row r="30" spans="1:4">
      <c r="A30" s="2">
        <f>'Q3_Top problems'!A36</f>
        <v>0</v>
      </c>
      <c r="B30" s="2">
        <f>'Q3_Top problems'!D36</f>
        <v>0</v>
      </c>
      <c r="C30" s="2">
        <f>'Q3_Top problems'!L36</f>
        <v>0</v>
      </c>
      <c r="D30" s="2">
        <f>'Q3_Top problems'!M36</f>
        <v>0</v>
      </c>
    </row>
    <row r="31" spans="1:4">
      <c r="A31" s="2">
        <f>'Q3_Top problems'!A37</f>
        <v>0</v>
      </c>
      <c r="B31" s="2">
        <f>'Q3_Top problems'!D37</f>
        <v>0</v>
      </c>
      <c r="C31" s="2">
        <f>'Q3_Top problems'!L37</f>
        <v>0</v>
      </c>
      <c r="D31" s="2">
        <f>'Q3_Top problems'!M37</f>
        <v>0</v>
      </c>
    </row>
    <row r="32" spans="1:4">
      <c r="A32" s="2">
        <f>'Q3_Top problems'!A38</f>
        <v>0</v>
      </c>
      <c r="B32" s="2">
        <f>'Q3_Top problems'!D38</f>
        <v>0</v>
      </c>
      <c r="C32" s="2">
        <f>'Q3_Top problems'!L38</f>
        <v>0</v>
      </c>
      <c r="D32" s="2">
        <f>'Q3_Top problems'!M38</f>
        <v>0</v>
      </c>
    </row>
    <row r="33" spans="1:4">
      <c r="A33" s="2">
        <f>'Q3_Top problems'!A39</f>
        <v>0</v>
      </c>
      <c r="B33" s="2">
        <f>'Q3_Top problems'!D39</f>
        <v>0</v>
      </c>
      <c r="C33" s="2">
        <f>'Q3_Top problems'!L39</f>
        <v>0</v>
      </c>
      <c r="D33" s="2">
        <f>'Q3_Top problems'!M39</f>
        <v>0</v>
      </c>
    </row>
    <row r="34" spans="1:4">
      <c r="A34" s="2">
        <f>'Q3_Top problems'!A40</f>
        <v>0</v>
      </c>
      <c r="B34" s="2">
        <f>'Q3_Top problems'!D40</f>
        <v>0</v>
      </c>
      <c r="C34" s="2">
        <f>'Q3_Top problems'!L40</f>
        <v>0</v>
      </c>
      <c r="D34" s="2">
        <f>'Q3_Top problems'!M40</f>
        <v>0</v>
      </c>
    </row>
    <row r="35" spans="1:4">
      <c r="A35" s="2">
        <f>'Q3_Top problems'!A41</f>
        <v>0</v>
      </c>
      <c r="B35" s="2">
        <f>'Q3_Top problems'!D41</f>
        <v>0</v>
      </c>
      <c r="C35" s="2">
        <f>'Q3_Top problems'!L41</f>
        <v>0</v>
      </c>
      <c r="D35" s="2">
        <f>'Q3_Top problems'!M41</f>
        <v>0</v>
      </c>
    </row>
    <row r="36" spans="1:4">
      <c r="A36" s="2">
        <f>'Q3_Top problems'!A42</f>
        <v>0</v>
      </c>
      <c r="B36" s="2">
        <f>'Q3_Top problems'!D42</f>
        <v>0</v>
      </c>
      <c r="C36" s="2">
        <f>'Q3_Top problems'!L42</f>
        <v>0</v>
      </c>
      <c r="D36" s="2">
        <f>'Q3_Top problems'!M42</f>
        <v>0</v>
      </c>
    </row>
    <row r="37" spans="1:4">
      <c r="A37" s="2">
        <f>'Q3_Top problems'!A43</f>
        <v>0</v>
      </c>
      <c r="B37" s="2">
        <f>'Q3_Top problems'!D43</f>
        <v>0</v>
      </c>
      <c r="C37" s="2">
        <f>'Q3_Top problems'!L43</f>
        <v>0</v>
      </c>
      <c r="D37" s="2">
        <f>'Q3_Top problems'!M43</f>
        <v>0</v>
      </c>
    </row>
    <row r="38" spans="1:4">
      <c r="A38" s="2">
        <f>'Q3_Top problems'!A44</f>
        <v>0</v>
      </c>
      <c r="B38" s="2">
        <f>'Q3_Top problems'!D44</f>
        <v>0</v>
      </c>
      <c r="C38" s="2">
        <f>'Q3_Top problems'!L44</f>
        <v>0</v>
      </c>
      <c r="D38" s="2">
        <f>'Q3_Top problems'!M44</f>
        <v>0</v>
      </c>
    </row>
    <row r="39" spans="1:4">
      <c r="A39" s="2">
        <f>'Q3_Top problems'!A45</f>
        <v>0</v>
      </c>
      <c r="B39" s="2">
        <f>'Q3_Top problems'!D45</f>
        <v>0</v>
      </c>
      <c r="C39" s="2">
        <f>'Q3_Top problems'!L45</f>
        <v>0</v>
      </c>
      <c r="D39" s="2">
        <f>'Q3_Top problems'!M45</f>
        <v>0</v>
      </c>
    </row>
    <row r="40" spans="1:4">
      <c r="A40" s="2">
        <f>'Q3_Top problems'!A46</f>
        <v>0</v>
      </c>
      <c r="B40" s="2">
        <f>'Q3_Top problems'!D46</f>
        <v>0</v>
      </c>
      <c r="C40" s="2">
        <f>'Q3_Top problems'!L46</f>
        <v>0</v>
      </c>
      <c r="D40" s="2">
        <f>'Q3_Top problems'!M46</f>
        <v>0</v>
      </c>
    </row>
    <row r="41" spans="1:4">
      <c r="A41" s="2">
        <f>'Q3_Top problems'!A47</f>
        <v>0</v>
      </c>
      <c r="B41" s="2">
        <f>'Q3_Top problems'!D47</f>
        <v>0</v>
      </c>
      <c r="C41" s="2">
        <f>'Q3_Top problems'!L47</f>
        <v>0</v>
      </c>
      <c r="D41" s="2">
        <f>'Q3_Top problems'!M47</f>
        <v>0</v>
      </c>
    </row>
    <row r="42" spans="1:4">
      <c r="A42" s="2">
        <f>'Q3_Top problems'!A48</f>
        <v>0</v>
      </c>
      <c r="B42" s="2">
        <f>'Q3_Top problems'!D48</f>
        <v>0</v>
      </c>
      <c r="C42" s="2">
        <f>'Q3_Top problems'!L48</f>
        <v>0</v>
      </c>
      <c r="D42" s="2">
        <f>'Q3_Top problems'!M48</f>
        <v>0</v>
      </c>
    </row>
    <row r="43" spans="1:4">
      <c r="A43" s="2">
        <f>'Q3_Top problems'!A49</f>
        <v>0</v>
      </c>
      <c r="B43" s="2">
        <f>'Q3_Top problems'!D49</f>
        <v>0</v>
      </c>
      <c r="C43" s="2">
        <f>'Q3_Top problems'!L49</f>
        <v>0</v>
      </c>
      <c r="D43" s="2">
        <f>'Q3_Top problems'!M49</f>
        <v>0</v>
      </c>
    </row>
    <row r="44" spans="1:4">
      <c r="A44" s="2">
        <f>'Q3_Top problems'!A50</f>
        <v>0</v>
      </c>
      <c r="B44" s="2">
        <f>'Q3_Top problems'!D50</f>
        <v>0</v>
      </c>
      <c r="C44" s="2">
        <f>'Q3_Top problems'!L50</f>
        <v>0</v>
      </c>
      <c r="D44" s="2">
        <f>'Q3_Top problems'!M50</f>
        <v>0</v>
      </c>
    </row>
    <row r="45" spans="1:4">
      <c r="A45" s="2">
        <f>'Q3_Top problems'!A51</f>
        <v>0</v>
      </c>
      <c r="B45" s="2">
        <f>'Q3_Top problems'!D51</f>
        <v>0</v>
      </c>
      <c r="C45" s="2">
        <f>'Q3_Top problems'!L51</f>
        <v>0</v>
      </c>
      <c r="D45" s="2">
        <f>'Q3_Top problems'!M51</f>
        <v>0</v>
      </c>
    </row>
    <row r="46" spans="1:4">
      <c r="A46" s="2">
        <f>'Q3_Top problems'!A52</f>
        <v>0</v>
      </c>
      <c r="B46" s="2">
        <f>'Q3_Top problems'!D52</f>
        <v>0</v>
      </c>
      <c r="C46" s="2">
        <f>'Q3_Top problems'!L52</f>
        <v>0</v>
      </c>
      <c r="D46" s="2">
        <f>'Q3_Top problems'!M52</f>
        <v>0</v>
      </c>
    </row>
    <row r="47" spans="1:4">
      <c r="A47" s="2">
        <f>'Q3_Top problems'!A53</f>
        <v>0</v>
      </c>
      <c r="B47" s="2">
        <f>'Q3_Top problems'!D53</f>
        <v>0</v>
      </c>
      <c r="C47" s="2">
        <f>'Q3_Top problems'!L53</f>
        <v>0</v>
      </c>
      <c r="D47" s="2">
        <f>'Q3_Top problems'!M53</f>
        <v>0</v>
      </c>
    </row>
    <row r="48" spans="1:4">
      <c r="A48" s="2">
        <f>'Q3_Top problems'!A54</f>
        <v>0</v>
      </c>
      <c r="B48" s="2">
        <f>'Q3_Top problems'!D54</f>
        <v>0</v>
      </c>
      <c r="C48" s="2">
        <f>'Q3_Top problems'!L54</f>
        <v>0</v>
      </c>
      <c r="D48" s="2">
        <f>'Q3_Top problems'!M54</f>
        <v>0</v>
      </c>
    </row>
    <row r="49" spans="1:4">
      <c r="A49" s="2">
        <f>'Q3_Top problems'!A55</f>
        <v>0</v>
      </c>
      <c r="B49" s="2">
        <f>'Q3_Top problems'!D55</f>
        <v>0</v>
      </c>
      <c r="C49" s="2">
        <f>'Q3_Top problems'!L55</f>
        <v>0</v>
      </c>
      <c r="D49" s="2">
        <f>'Q3_Top problems'!M55</f>
        <v>0</v>
      </c>
    </row>
    <row r="50" spans="1:4">
      <c r="A50" s="2">
        <f>'Q3_Top problems'!A56</f>
        <v>0</v>
      </c>
      <c r="B50" s="2">
        <f>'Q3_Top problems'!D56</f>
        <v>0</v>
      </c>
      <c r="C50" s="2">
        <f>'Q3_Top problems'!L56</f>
        <v>0</v>
      </c>
      <c r="D50" s="2">
        <f>'Q3_Top problems'!M56</f>
        <v>0</v>
      </c>
    </row>
    <row r="51" spans="1:4">
      <c r="A51" s="2">
        <f>'Q3_Top problems'!A57</f>
        <v>0</v>
      </c>
      <c r="B51" s="2">
        <f>'Q3_Top problems'!D57</f>
        <v>0</v>
      </c>
      <c r="C51" s="2">
        <f>'Q3_Top problems'!L57</f>
        <v>0</v>
      </c>
      <c r="D51" s="2">
        <f>'Q3_Top problems'!M57</f>
        <v>0</v>
      </c>
    </row>
    <row r="52" spans="1:4">
      <c r="A52" s="2">
        <f>'Q3_Top problems'!A58</f>
        <v>0</v>
      </c>
      <c r="B52" s="2">
        <f>'Q3_Top problems'!D58</f>
        <v>0</v>
      </c>
      <c r="C52" s="2">
        <f>'Q3_Top problems'!L58</f>
        <v>0</v>
      </c>
      <c r="D52" s="2">
        <f>'Q3_Top problems'!M58</f>
        <v>0</v>
      </c>
    </row>
    <row r="53" spans="1:4">
      <c r="A53" s="2">
        <f>'Q3_Top problems'!A59</f>
        <v>0</v>
      </c>
      <c r="B53" s="2">
        <f>'Q3_Top problems'!D59</f>
        <v>0</v>
      </c>
      <c r="C53" s="2">
        <f>'Q3_Top problems'!L59</f>
        <v>0</v>
      </c>
      <c r="D53" s="2">
        <f>'Q3_Top problems'!M59</f>
        <v>0</v>
      </c>
    </row>
    <row r="54" spans="1:4">
      <c r="A54" s="2">
        <f>'Q3_Top problems'!A60</f>
        <v>0</v>
      </c>
      <c r="B54" s="2">
        <f>'Q3_Top problems'!D60</f>
        <v>0</v>
      </c>
      <c r="C54" s="2">
        <f>'Q3_Top problems'!L60</f>
        <v>0</v>
      </c>
      <c r="D54" s="2">
        <f>'Q3_Top problems'!M60</f>
        <v>0</v>
      </c>
    </row>
    <row r="55" spans="1:4">
      <c r="A55" s="2">
        <f>'Q3_Top problems'!A61</f>
        <v>0</v>
      </c>
      <c r="B55" s="2">
        <f>'Q3_Top problems'!D61</f>
        <v>0</v>
      </c>
      <c r="C55" s="2">
        <f>'Q3_Top problems'!L61</f>
        <v>0</v>
      </c>
      <c r="D55" s="2">
        <f>'Q3_Top problems'!M61</f>
        <v>0</v>
      </c>
    </row>
    <row r="56" spans="1:4">
      <c r="A56" s="2">
        <f>'Q3_Top problems'!A62</f>
        <v>0</v>
      </c>
      <c r="B56" s="2">
        <f>'Q3_Top problems'!D62</f>
        <v>0</v>
      </c>
      <c r="C56" s="2">
        <f>'Q3_Top problems'!L62</f>
        <v>0</v>
      </c>
      <c r="D56" s="2">
        <f>'Q3_Top problems'!M62</f>
        <v>0</v>
      </c>
    </row>
    <row r="57" spans="1:4">
      <c r="A57" s="2">
        <f>'Q3_Top problems'!A63</f>
        <v>0</v>
      </c>
      <c r="B57" s="2">
        <f>'Q3_Top problems'!D63</f>
        <v>0</v>
      </c>
      <c r="C57" s="2">
        <f>'Q3_Top problems'!L63</f>
        <v>0</v>
      </c>
      <c r="D57" s="2">
        <f>'Q3_Top problems'!M63</f>
        <v>0</v>
      </c>
    </row>
    <row r="58" spans="1:4">
      <c r="A58" s="2">
        <f>'Q3_Top problems'!A64</f>
        <v>0</v>
      </c>
      <c r="B58" s="2">
        <f>'Q3_Top problems'!D64</f>
        <v>0</v>
      </c>
      <c r="C58" s="2">
        <f>'Q3_Top problems'!L64</f>
        <v>0</v>
      </c>
      <c r="D58" s="2">
        <f>'Q3_Top problems'!M64</f>
        <v>0</v>
      </c>
    </row>
    <row r="59" spans="1:4">
      <c r="A59" s="2">
        <f>'Q3_Top problems'!A65</f>
        <v>0</v>
      </c>
      <c r="B59" s="2">
        <f>'Q3_Top problems'!D65</f>
        <v>0</v>
      </c>
      <c r="C59" s="2">
        <f>'Q3_Top problems'!L65</f>
        <v>0</v>
      </c>
      <c r="D59" s="2">
        <f>'Q3_Top problems'!M65</f>
        <v>0</v>
      </c>
    </row>
    <row r="60" spans="1:4">
      <c r="A60" s="2">
        <f>'Q3_Top problems'!A66</f>
        <v>0</v>
      </c>
      <c r="B60" s="2">
        <f>'Q3_Top problems'!D66</f>
        <v>0</v>
      </c>
      <c r="C60" s="2">
        <f>'Q3_Top problems'!L66</f>
        <v>0</v>
      </c>
      <c r="D60" s="2">
        <f>'Q3_Top problems'!M66</f>
        <v>0</v>
      </c>
    </row>
    <row r="61" spans="1:4">
      <c r="A61" s="2">
        <f>'Q3_Top problems'!A67</f>
        <v>0</v>
      </c>
      <c r="B61" s="2">
        <f>'Q3_Top problems'!D67</f>
        <v>0</v>
      </c>
      <c r="C61" s="2">
        <f>'Q3_Top problems'!L67</f>
        <v>0</v>
      </c>
      <c r="D61" s="2">
        <f>'Q3_Top problems'!M67</f>
        <v>0</v>
      </c>
    </row>
    <row r="62" spans="1:4">
      <c r="A62" s="2">
        <f>'Q3_Top problems'!A68</f>
        <v>0</v>
      </c>
      <c r="B62" s="2">
        <f>'Q3_Top problems'!D68</f>
        <v>0</v>
      </c>
      <c r="C62" s="2">
        <f>'Q3_Top problems'!L68</f>
        <v>0</v>
      </c>
      <c r="D62" s="2">
        <f>'Q3_Top problems'!M68</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E8E85-66ED-47DD-A51D-D38F1A18BF5A}">
  <sheetPr>
    <tabColor theme="8"/>
  </sheetPr>
  <dimension ref="A1:H28"/>
  <sheetViews>
    <sheetView workbookViewId="0">
      <pane ySplit="1" topLeftCell="A2" activePane="bottomLeft" state="frozen"/>
      <selection pane="bottomLeft" activeCell="A8" sqref="A8"/>
    </sheetView>
  </sheetViews>
  <sheetFormatPr defaultRowHeight="13.8" outlineLevelCol="1"/>
  <cols>
    <col min="1" max="1" width="20" style="44" customWidth="1"/>
    <col min="2" max="2" width="12.21875" style="44" customWidth="1"/>
    <col min="3" max="3" width="43.77734375" style="44" customWidth="1"/>
    <col min="4" max="4" width="44.5546875" style="44" hidden="1" customWidth="1" outlineLevel="1"/>
    <col min="5" max="5" width="20" style="44" customWidth="1" collapsed="1"/>
    <col min="6" max="6" width="34.5546875" style="44" customWidth="1"/>
    <col min="7" max="7" width="57" style="44" customWidth="1"/>
    <col min="8" max="8" width="56.5546875" style="44" customWidth="1"/>
    <col min="9" max="16384" width="8.88671875" style="44"/>
  </cols>
  <sheetData>
    <row r="1" spans="1:8" ht="34.049999999999997" customHeight="1">
      <c r="A1" s="43" t="s">
        <v>2028</v>
      </c>
      <c r="B1" s="43" t="s">
        <v>2029</v>
      </c>
      <c r="C1" s="43" t="s">
        <v>2030</v>
      </c>
      <c r="D1" s="43" t="s">
        <v>2031</v>
      </c>
      <c r="E1" s="43" t="s">
        <v>2032</v>
      </c>
      <c r="F1" s="43" t="s">
        <v>2033</v>
      </c>
      <c r="G1" s="43" t="s">
        <v>2034</v>
      </c>
      <c r="H1" s="43" t="s">
        <v>2035</v>
      </c>
    </row>
    <row r="2" spans="1:8" ht="54" customHeight="1">
      <c r="A2" s="57" t="str">
        <f>HYPERLINK("#'Q3_Top problems'!A6","WS1-P017")</f>
        <v>WS1-P017</v>
      </c>
      <c r="B2" s="45" t="s">
        <v>91</v>
      </c>
      <c r="C2" s="45" t="s">
        <v>214</v>
      </c>
      <c r="D2" s="45" t="s">
        <v>2036</v>
      </c>
      <c r="E2" s="45" t="s">
        <v>1619</v>
      </c>
      <c r="F2" s="45" t="s">
        <v>2037</v>
      </c>
      <c r="G2" s="45" t="s">
        <v>2038</v>
      </c>
      <c r="H2" s="45" t="s">
        <v>2039</v>
      </c>
    </row>
    <row r="3" spans="1:8" ht="54" customHeight="1">
      <c r="A3" s="57" t="str">
        <f>HYPERLINK("#'Q3_Top problems'!A7","WS1-P026")</f>
        <v>WS1-P026</v>
      </c>
      <c r="B3" s="45" t="s">
        <v>104</v>
      </c>
      <c r="C3" s="45" t="s">
        <v>2040</v>
      </c>
      <c r="D3" s="45" t="s">
        <v>2041</v>
      </c>
      <c r="E3" s="45" t="s">
        <v>1541</v>
      </c>
      <c r="F3" s="45" t="s">
        <v>2042</v>
      </c>
      <c r="G3" s="45" t="s">
        <v>2043</v>
      </c>
      <c r="H3" s="45" t="s">
        <v>2044</v>
      </c>
    </row>
    <row r="4" spans="1:8" ht="54" customHeight="1">
      <c r="A4" s="57" t="str">
        <f>HYPERLINK("#'Q3_Top problems'!A8","WS1-P011")</f>
        <v>WS1-P011</v>
      </c>
      <c r="B4" s="45" t="s">
        <v>91</v>
      </c>
      <c r="C4" s="45" t="s">
        <v>240</v>
      </c>
      <c r="D4" s="45" t="s">
        <v>2045</v>
      </c>
      <c r="E4" s="45" t="s">
        <v>1541</v>
      </c>
      <c r="F4" s="45" t="s">
        <v>2046</v>
      </c>
      <c r="G4" s="45" t="s">
        <v>2047</v>
      </c>
      <c r="H4" s="45" t="s">
        <v>2048</v>
      </c>
    </row>
    <row r="5" spans="1:8" ht="54" customHeight="1">
      <c r="A5" s="57" t="str">
        <f>HYPERLINK("#'Q3_Top problems'!A9","WS1-P012")</f>
        <v>WS1-P012</v>
      </c>
      <c r="B5" s="45" t="s">
        <v>91</v>
      </c>
      <c r="C5" s="45" t="s">
        <v>249</v>
      </c>
      <c r="D5" s="45" t="s">
        <v>2049</v>
      </c>
      <c r="E5" s="45" t="s">
        <v>1541</v>
      </c>
      <c r="F5" s="45" t="s">
        <v>2050</v>
      </c>
      <c r="G5" s="45" t="s">
        <v>2051</v>
      </c>
      <c r="H5" s="45" t="s">
        <v>2052</v>
      </c>
    </row>
    <row r="6" spans="1:8" ht="54" customHeight="1">
      <c r="A6" s="57" t="str">
        <f>HYPERLINK("#'Q3_Top problems'!A10","WS1-P001")</f>
        <v>WS1-P001</v>
      </c>
      <c r="B6" s="45" t="s">
        <v>140</v>
      </c>
      <c r="C6" s="45" t="s">
        <v>259</v>
      </c>
      <c r="D6" s="45" t="s">
        <v>2053</v>
      </c>
      <c r="E6" s="45" t="s">
        <v>2054</v>
      </c>
      <c r="F6" s="45" t="s">
        <v>2055</v>
      </c>
      <c r="G6" s="45" t="s">
        <v>2056</v>
      </c>
      <c r="H6" s="45" t="s">
        <v>2057</v>
      </c>
    </row>
    <row r="7" spans="1:8" ht="54" customHeight="1">
      <c r="A7" s="57" t="str">
        <f>HYPERLINK("#'Q3_Top problems'!A11","WS1-P013")</f>
        <v>WS1-P013</v>
      </c>
      <c r="B7" s="45" t="s">
        <v>104</v>
      </c>
      <c r="C7" s="45" t="s">
        <v>267</v>
      </c>
      <c r="D7" s="45" t="s">
        <v>2058</v>
      </c>
      <c r="E7" s="45" t="s">
        <v>1541</v>
      </c>
      <c r="F7" s="45" t="s">
        <v>2059</v>
      </c>
      <c r="G7" s="45" t="s">
        <v>2060</v>
      </c>
      <c r="H7" s="45" t="s">
        <v>2061</v>
      </c>
    </row>
    <row r="8" spans="1:8" ht="54" customHeight="1">
      <c r="A8" s="57" t="str">
        <f>HYPERLINK("#'Q3_Top problems'!A12","WS1-P008")</f>
        <v>WS1-P008</v>
      </c>
      <c r="B8" s="45" t="s">
        <v>116</v>
      </c>
      <c r="C8" s="45" t="s">
        <v>276</v>
      </c>
      <c r="D8" s="45" t="s">
        <v>2062</v>
      </c>
      <c r="E8" s="45" t="s">
        <v>2054</v>
      </c>
      <c r="F8" s="45" t="s">
        <v>2063</v>
      </c>
      <c r="G8" s="45" t="s">
        <v>2064</v>
      </c>
      <c r="H8" s="45" t="s">
        <v>2065</v>
      </c>
    </row>
    <row r="9" spans="1:8" ht="54" customHeight="1">
      <c r="A9" s="57" t="str">
        <f>HYPERLINK("#'Q3_Top problems'!A13","WS1-P027")</f>
        <v>WS1-P027</v>
      </c>
      <c r="B9" s="45" t="s">
        <v>116</v>
      </c>
      <c r="C9" s="45" t="s">
        <v>2066</v>
      </c>
      <c r="D9" s="45" t="s">
        <v>2067</v>
      </c>
      <c r="E9" s="45" t="s">
        <v>2054</v>
      </c>
      <c r="F9" s="45" t="s">
        <v>2068</v>
      </c>
      <c r="G9" s="45" t="s">
        <v>2069</v>
      </c>
      <c r="H9" s="45" t="s">
        <v>2070</v>
      </c>
    </row>
    <row r="10" spans="1:8" ht="54" customHeight="1">
      <c r="A10" s="57" t="str">
        <f>HYPERLINK("#'Q3_Top problems'!A14","WS1-P018")</f>
        <v>WS1-P018</v>
      </c>
      <c r="B10" s="45" t="s">
        <v>91</v>
      </c>
      <c r="C10" s="45" t="s">
        <v>289</v>
      </c>
      <c r="D10" s="45" t="s">
        <v>2071</v>
      </c>
      <c r="E10" s="45" t="s">
        <v>1619</v>
      </c>
      <c r="F10" s="45" t="s">
        <v>2046</v>
      </c>
      <c r="G10" s="45" t="s">
        <v>2072</v>
      </c>
      <c r="H10" s="45" t="s">
        <v>2073</v>
      </c>
    </row>
    <row r="11" spans="1:8" ht="54" customHeight="1">
      <c r="A11" s="57" t="str">
        <f>HYPERLINK("#'Q3_Top problems'!A15","WS1-P020")</f>
        <v>WS1-P020</v>
      </c>
      <c r="B11" s="45" t="s">
        <v>104</v>
      </c>
      <c r="C11" s="45" t="s">
        <v>298</v>
      </c>
      <c r="D11" s="45" t="s">
        <v>2074</v>
      </c>
      <c r="E11" s="45" t="s">
        <v>1541</v>
      </c>
      <c r="F11" s="45" t="s">
        <v>2059</v>
      </c>
      <c r="G11" s="45" t="s">
        <v>2075</v>
      </c>
      <c r="H11" s="45" t="s">
        <v>2076</v>
      </c>
    </row>
    <row r="12" spans="1:8" ht="54" customHeight="1">
      <c r="A12" s="57" t="str">
        <f>HYPERLINK("#'Q3_Top problems'!A16","WS1-P004")</f>
        <v>WS1-P004</v>
      </c>
      <c r="B12" s="45" t="s">
        <v>152</v>
      </c>
      <c r="C12" s="45" t="s">
        <v>305</v>
      </c>
      <c r="D12" s="45" t="s">
        <v>2077</v>
      </c>
      <c r="E12" s="45" t="s">
        <v>2054</v>
      </c>
      <c r="F12" s="45" t="s">
        <v>2078</v>
      </c>
      <c r="G12" s="45" t="s">
        <v>2079</v>
      </c>
      <c r="H12" s="45" t="s">
        <v>2080</v>
      </c>
    </row>
    <row r="13" spans="1:8" ht="54" customHeight="1">
      <c r="A13" s="57" t="str">
        <f>HYPERLINK("#'Q3_Top problems'!A17","WS1-P019")</f>
        <v>WS1-P019</v>
      </c>
      <c r="B13" s="45" t="s">
        <v>116</v>
      </c>
      <c r="C13" s="45" t="s">
        <v>308</v>
      </c>
      <c r="D13" s="45" t="s">
        <v>2081</v>
      </c>
      <c r="E13" s="45" t="s">
        <v>1541</v>
      </c>
      <c r="F13" s="45" t="s">
        <v>2082</v>
      </c>
      <c r="G13" s="45" t="s">
        <v>2083</v>
      </c>
      <c r="H13" s="45" t="s">
        <v>2084</v>
      </c>
    </row>
    <row r="14" spans="1:8" ht="54" customHeight="1">
      <c r="A14" s="57" t="str">
        <f>HYPERLINK("#'Q3_Top problems'!A18","WS1-P014")</f>
        <v>WS1-P014</v>
      </c>
      <c r="B14" s="45" t="s">
        <v>91</v>
      </c>
      <c r="C14" s="45" t="s">
        <v>315</v>
      </c>
      <c r="D14" s="45" t="s">
        <v>2085</v>
      </c>
      <c r="E14" s="45" t="s">
        <v>1619</v>
      </c>
      <c r="F14" s="45" t="s">
        <v>2086</v>
      </c>
      <c r="G14" s="45" t="s">
        <v>2087</v>
      </c>
      <c r="H14" s="45" t="s">
        <v>2088</v>
      </c>
    </row>
    <row r="15" spans="1:8" ht="54" customHeight="1">
      <c r="A15" s="57" t="str">
        <f>HYPERLINK("#'Q3_Top problems'!A19","WS1-P015")</f>
        <v>WS1-P015</v>
      </c>
      <c r="B15" s="45" t="s">
        <v>128</v>
      </c>
      <c r="C15" s="45" t="s">
        <v>323</v>
      </c>
      <c r="D15" s="45" t="s">
        <v>2089</v>
      </c>
      <c r="E15" s="45" t="s">
        <v>1619</v>
      </c>
      <c r="F15" s="45" t="s">
        <v>2090</v>
      </c>
      <c r="G15" s="45" t="s">
        <v>2091</v>
      </c>
      <c r="H15" s="45" t="s">
        <v>2092</v>
      </c>
    </row>
    <row r="16" spans="1:8" ht="54" customHeight="1">
      <c r="A16" s="57" t="str">
        <f>HYPERLINK("#'Q3_Top problems'!A20","WS1-P002")</f>
        <v>WS1-P002</v>
      </c>
      <c r="B16" s="45" t="s">
        <v>140</v>
      </c>
      <c r="C16" s="45" t="s">
        <v>329</v>
      </c>
      <c r="D16" s="45" t="s">
        <v>2093</v>
      </c>
      <c r="E16" s="45" t="s">
        <v>2054</v>
      </c>
      <c r="F16" s="45" t="s">
        <v>2094</v>
      </c>
      <c r="G16" s="45" t="s">
        <v>2095</v>
      </c>
      <c r="H16" s="45" t="s">
        <v>2096</v>
      </c>
    </row>
    <row r="17" spans="1:8" ht="54" customHeight="1">
      <c r="A17" s="57" t="str">
        <f>HYPERLINK("#'Q3_Top problems'!A21","WS1-P016")</f>
        <v>WS1-P016</v>
      </c>
      <c r="B17" s="45" t="s">
        <v>91</v>
      </c>
      <c r="C17" s="45" t="s">
        <v>335</v>
      </c>
      <c r="D17" s="45" t="s">
        <v>2097</v>
      </c>
      <c r="E17" s="45" t="s">
        <v>1619</v>
      </c>
      <c r="F17" s="45" t="s">
        <v>2098</v>
      </c>
      <c r="G17" s="45" t="s">
        <v>2099</v>
      </c>
      <c r="H17" s="45" t="s">
        <v>2100</v>
      </c>
    </row>
    <row r="18" spans="1:8" ht="54" customHeight="1">
      <c r="A18" s="57" t="str">
        <f>HYPERLINK("#'Q3_Top problems'!A22","WS1-P006")</f>
        <v>WS1-P006</v>
      </c>
      <c r="B18" s="45" t="s">
        <v>164</v>
      </c>
      <c r="C18" s="45" t="s">
        <v>344</v>
      </c>
      <c r="D18" s="45" t="s">
        <v>2101</v>
      </c>
      <c r="E18" s="45" t="s">
        <v>1619</v>
      </c>
      <c r="F18" s="45" t="s">
        <v>2102</v>
      </c>
      <c r="G18" s="45" t="s">
        <v>2103</v>
      </c>
      <c r="H18" s="45" t="s">
        <v>2104</v>
      </c>
    </row>
    <row r="19" spans="1:8" ht="54" customHeight="1">
      <c r="A19" s="57" t="str">
        <f>HYPERLINK("#'Q3_Top problems'!A23","WS1-P007")</f>
        <v>WS1-P007</v>
      </c>
      <c r="B19" s="45" t="s">
        <v>164</v>
      </c>
      <c r="C19" s="45" t="s">
        <v>352</v>
      </c>
      <c r="D19" s="45" t="s">
        <v>2105</v>
      </c>
      <c r="E19" s="45" t="s">
        <v>1619</v>
      </c>
      <c r="F19" s="45" t="s">
        <v>2106</v>
      </c>
      <c r="G19" s="45" t="s">
        <v>2107</v>
      </c>
      <c r="H19" s="45" t="s">
        <v>2108</v>
      </c>
    </row>
    <row r="20" spans="1:8" ht="54" customHeight="1">
      <c r="A20" s="57" t="str">
        <f>HYPERLINK("#'Q3_Top problems'!A24","WS1-P003")</f>
        <v>WS1-P003</v>
      </c>
      <c r="B20" s="45" t="s">
        <v>140</v>
      </c>
      <c r="C20" s="45" t="s">
        <v>360</v>
      </c>
      <c r="D20" s="45" t="s">
        <v>2109</v>
      </c>
      <c r="E20" s="45" t="s">
        <v>2054</v>
      </c>
      <c r="F20" s="45" t="s">
        <v>2055</v>
      </c>
      <c r="G20" s="45" t="s">
        <v>2110</v>
      </c>
      <c r="H20" s="45" t="s">
        <v>2111</v>
      </c>
    </row>
    <row r="21" spans="1:8" ht="54" customHeight="1">
      <c r="A21" s="57" t="str">
        <f>HYPERLINK("#'Q3_Top problems'!A25","WS1-P022")</f>
        <v>WS1-P022</v>
      </c>
      <c r="B21" s="45" t="s">
        <v>140</v>
      </c>
      <c r="C21" s="45" t="s">
        <v>366</v>
      </c>
      <c r="D21" s="45" t="s">
        <v>2112</v>
      </c>
      <c r="E21" s="45" t="s">
        <v>2054</v>
      </c>
      <c r="F21" s="45" t="s">
        <v>2113</v>
      </c>
      <c r="G21" s="45" t="s">
        <v>2114</v>
      </c>
      <c r="H21" s="45" t="s">
        <v>2115</v>
      </c>
    </row>
    <row r="22" spans="1:8" ht="54" customHeight="1">
      <c r="A22" s="57" t="str">
        <f>HYPERLINK("#'Q3_Top problems'!A26","WS1-P023")</f>
        <v>WS1-P023</v>
      </c>
      <c r="B22" s="45" t="s">
        <v>104</v>
      </c>
      <c r="C22" s="45" t="s">
        <v>374</v>
      </c>
      <c r="D22" s="45" t="s">
        <v>2116</v>
      </c>
      <c r="E22" s="45" t="s">
        <v>2054</v>
      </c>
      <c r="F22" s="45" t="s">
        <v>2117</v>
      </c>
      <c r="G22" s="45" t="s">
        <v>2118</v>
      </c>
      <c r="H22" s="45" t="s">
        <v>2119</v>
      </c>
    </row>
    <row r="23" spans="1:8" ht="54" customHeight="1">
      <c r="A23" s="57" t="str">
        <f>HYPERLINK("#'Q3_Top problems'!A27","WS1-P025")</f>
        <v>WS1-P025</v>
      </c>
      <c r="B23" s="45" t="s">
        <v>116</v>
      </c>
      <c r="C23" s="45" t="s">
        <v>382</v>
      </c>
      <c r="D23" s="45" t="s">
        <v>2120</v>
      </c>
      <c r="E23" s="45" t="s">
        <v>2054</v>
      </c>
      <c r="F23" s="45" t="s">
        <v>2121</v>
      </c>
      <c r="G23" s="45" t="s">
        <v>2122</v>
      </c>
      <c r="H23" s="45" t="s">
        <v>2123</v>
      </c>
    </row>
    <row r="24" spans="1:8" ht="54" customHeight="1">
      <c r="A24" s="57" t="str">
        <f>HYPERLINK("#'Q3_Top problems'!A28","WS1-P010")</f>
        <v>WS1-P010</v>
      </c>
      <c r="B24" s="45" t="s">
        <v>164</v>
      </c>
      <c r="C24" s="45" t="s">
        <v>387</v>
      </c>
      <c r="D24" s="45" t="s">
        <v>2124</v>
      </c>
      <c r="E24" s="45" t="s">
        <v>1541</v>
      </c>
      <c r="F24" s="45" t="s">
        <v>2125</v>
      </c>
      <c r="G24" s="45" t="s">
        <v>2126</v>
      </c>
      <c r="H24" s="45" t="s">
        <v>2127</v>
      </c>
    </row>
    <row r="25" spans="1:8" ht="54" customHeight="1">
      <c r="A25" s="57" t="str">
        <f>HYPERLINK("#'Q3_Top problems'!A29","WS1-P024")</f>
        <v>WS1-P024</v>
      </c>
      <c r="B25" s="45" t="s">
        <v>104</v>
      </c>
      <c r="C25" s="45" t="s">
        <v>394</v>
      </c>
      <c r="D25" s="45" t="s">
        <v>2128</v>
      </c>
      <c r="E25" s="45" t="s">
        <v>1541</v>
      </c>
      <c r="F25" s="45" t="s">
        <v>2129</v>
      </c>
      <c r="G25" s="45" t="s">
        <v>2130</v>
      </c>
      <c r="H25" s="45" t="s">
        <v>2131</v>
      </c>
    </row>
    <row r="26" spans="1:8" ht="54" customHeight="1">
      <c r="A26" s="57" t="str">
        <f>HYPERLINK("#'Q3_Top problems'!A30","WS1-P005")</f>
        <v>WS1-P005</v>
      </c>
      <c r="B26" s="45" t="s">
        <v>152</v>
      </c>
      <c r="C26" s="45" t="s">
        <v>400</v>
      </c>
      <c r="D26" s="45" t="s">
        <v>2132</v>
      </c>
      <c r="E26" s="45" t="s">
        <v>2054</v>
      </c>
      <c r="F26" s="45" t="s">
        <v>2133</v>
      </c>
      <c r="G26" s="45" t="s">
        <v>2134</v>
      </c>
      <c r="H26" s="45" t="s">
        <v>2135</v>
      </c>
    </row>
    <row r="27" spans="1:8" ht="54" customHeight="1">
      <c r="A27" s="57" t="str">
        <f>HYPERLINK("#'Q3_Top problems'!A31","WS1-P021")</f>
        <v>WS1-P021</v>
      </c>
      <c r="B27" s="45" t="s">
        <v>140</v>
      </c>
      <c r="C27" s="45" t="s">
        <v>405</v>
      </c>
      <c r="D27" s="45" t="s">
        <v>2136</v>
      </c>
      <c r="E27" s="45" t="s">
        <v>2054</v>
      </c>
      <c r="F27" s="45" t="s">
        <v>2137</v>
      </c>
      <c r="G27" s="45" t="s">
        <v>2138</v>
      </c>
      <c r="H27" s="45" t="s">
        <v>2139</v>
      </c>
    </row>
    <row r="28" spans="1:8" ht="54" customHeight="1">
      <c r="A28" s="57" t="str">
        <f>HYPERLINK("#'Q3_Top problems'!A32","WS1-P009")</f>
        <v>WS1-P009</v>
      </c>
      <c r="B28" s="45" t="s">
        <v>164</v>
      </c>
      <c r="C28" s="45" t="s">
        <v>410</v>
      </c>
      <c r="D28" s="45" t="s">
        <v>2140</v>
      </c>
      <c r="E28" s="45" t="s">
        <v>2054</v>
      </c>
      <c r="F28" s="45" t="s">
        <v>2141</v>
      </c>
      <c r="G28" s="45" t="s">
        <v>2142</v>
      </c>
      <c r="H28" s="45" t="s">
        <v>2143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35594-CDC0-4686-B16D-08191E74157A}">
  <dimension ref="A1:P66"/>
  <sheetViews>
    <sheetView topLeftCell="A37" workbookViewId="0">
      <selection activeCell="D9" sqref="D9"/>
    </sheetView>
  </sheetViews>
  <sheetFormatPr defaultRowHeight="14.4"/>
  <cols>
    <col min="1" max="1" width="12" customWidth="1"/>
    <col min="2" max="2" width="12.109375" customWidth="1"/>
    <col min="3" max="3" width="12.6640625" customWidth="1"/>
    <col min="4" max="4" width="58.109375" customWidth="1"/>
    <col min="5" max="5" width="27.44140625" customWidth="1"/>
    <col min="6" max="6" width="15" customWidth="1"/>
    <col min="7" max="7" width="17.44140625" customWidth="1"/>
    <col min="8" max="8" width="37.109375" customWidth="1"/>
    <col min="9" max="9" width="3.88671875" customWidth="1"/>
    <col min="10" max="10" width="9" customWidth="1"/>
    <col min="11" max="11" width="6.5546875" customWidth="1"/>
    <col min="12" max="12" width="18.109375" customWidth="1"/>
    <col min="13" max="13" width="11.88671875" customWidth="1"/>
    <col min="14" max="14" width="12.88671875" customWidth="1"/>
    <col min="15" max="15" width="34.33203125" customWidth="1"/>
    <col min="16" max="16" width="20" customWidth="1"/>
  </cols>
  <sheetData>
    <row r="1" spans="1:16" ht="30" customHeight="1">
      <c r="A1" s="46" t="s">
        <v>53</v>
      </c>
      <c r="B1" s="46"/>
      <c r="C1" s="46"/>
      <c r="D1" s="46"/>
      <c r="E1" s="46"/>
      <c r="F1" s="46"/>
      <c r="G1" s="46"/>
      <c r="H1" s="46"/>
      <c r="I1" s="46"/>
      <c r="J1" s="46"/>
      <c r="K1" s="46"/>
      <c r="L1" s="46"/>
      <c r="M1" s="46"/>
      <c r="N1" s="46"/>
      <c r="O1" s="46"/>
      <c r="P1" s="46"/>
    </row>
    <row r="2" spans="1:16" ht="30" customHeight="1">
      <c r="A2" s="48" t="s">
        <v>54</v>
      </c>
      <c r="B2" s="48"/>
      <c r="C2" s="48"/>
      <c r="D2" s="48"/>
      <c r="E2" s="48"/>
      <c r="F2" s="48"/>
      <c r="G2" s="48"/>
      <c r="H2" s="48"/>
      <c r="I2" s="48"/>
      <c r="J2" s="48"/>
      <c r="K2" s="48"/>
      <c r="L2" s="48"/>
      <c r="M2" s="48"/>
      <c r="N2" s="48"/>
      <c r="O2" s="48"/>
      <c r="P2" s="48"/>
    </row>
    <row r="5" spans="1:16" ht="45" customHeight="1">
      <c r="A5" s="2" t="s">
        <v>1172</v>
      </c>
      <c r="B5" s="2" t="s">
        <v>1173</v>
      </c>
      <c r="C5" s="2" t="s">
        <v>1174</v>
      </c>
      <c r="D5" s="2" t="s">
        <v>1175</v>
      </c>
      <c r="E5" s="2" t="s">
        <v>1176</v>
      </c>
      <c r="F5" s="2" t="s">
        <v>1177</v>
      </c>
      <c r="G5" s="2" t="s">
        <v>1178</v>
      </c>
      <c r="H5" s="2" t="s">
        <v>1179</v>
      </c>
      <c r="I5" s="2" t="s">
        <v>1180</v>
      </c>
      <c r="J5" s="2" t="s">
        <v>1181</v>
      </c>
      <c r="K5" s="2" t="s">
        <v>206</v>
      </c>
      <c r="L5" s="2" t="s">
        <v>207</v>
      </c>
      <c r="M5" s="2" t="s">
        <v>26</v>
      </c>
      <c r="N5" s="2" t="s">
        <v>208</v>
      </c>
      <c r="O5" s="2" t="s">
        <v>209</v>
      </c>
      <c r="P5" s="2" t="s">
        <v>15</v>
      </c>
    </row>
    <row r="6" spans="1:16">
      <c r="A6" t="s">
        <v>1182</v>
      </c>
      <c r="B6" t="s">
        <v>455</v>
      </c>
      <c r="C6" t="s">
        <v>456</v>
      </c>
      <c r="D6" t="s">
        <v>1183</v>
      </c>
      <c r="E6" t="s">
        <v>1184</v>
      </c>
      <c r="F6" t="s">
        <v>1185</v>
      </c>
      <c r="G6" t="s">
        <v>1186</v>
      </c>
      <c r="H6" t="s">
        <v>1187</v>
      </c>
      <c r="J6" t="s">
        <v>1188</v>
      </c>
      <c r="K6" t="s">
        <v>462</v>
      </c>
      <c r="L6" t="s">
        <v>1189</v>
      </c>
      <c r="M6" t="s">
        <v>226</v>
      </c>
    </row>
    <row r="7" spans="1:16">
      <c r="A7" t="s">
        <v>1190</v>
      </c>
      <c r="B7" t="s">
        <v>455</v>
      </c>
      <c r="C7" t="s">
        <v>456</v>
      </c>
      <c r="D7" t="s">
        <v>1191</v>
      </c>
      <c r="E7" t="s">
        <v>1192</v>
      </c>
      <c r="F7" t="s">
        <v>1193</v>
      </c>
      <c r="G7" t="s">
        <v>1194</v>
      </c>
      <c r="H7" t="s">
        <v>1187</v>
      </c>
      <c r="J7" t="s">
        <v>1188</v>
      </c>
      <c r="K7" t="s">
        <v>537</v>
      </c>
      <c r="L7" t="s">
        <v>1195</v>
      </c>
      <c r="M7" t="s">
        <v>226</v>
      </c>
    </row>
    <row r="8" spans="1:16">
      <c r="A8" t="s">
        <v>1196</v>
      </c>
      <c r="B8" t="s">
        <v>490</v>
      </c>
      <c r="C8" t="s">
        <v>491</v>
      </c>
      <c r="D8" t="s">
        <v>1197</v>
      </c>
      <c r="E8" t="s">
        <v>1198</v>
      </c>
      <c r="F8" t="s">
        <v>1199</v>
      </c>
      <c r="G8" t="s">
        <v>1200</v>
      </c>
      <c r="H8" t="s">
        <v>1201</v>
      </c>
      <c r="J8" t="s">
        <v>1188</v>
      </c>
      <c r="K8" t="s">
        <v>462</v>
      </c>
      <c r="L8" t="s">
        <v>1202</v>
      </c>
      <c r="M8" t="s">
        <v>226</v>
      </c>
    </row>
    <row r="9" spans="1:16">
      <c r="A9" t="s">
        <v>1203</v>
      </c>
      <c r="B9" t="s">
        <v>490</v>
      </c>
      <c r="C9" t="s">
        <v>491</v>
      </c>
      <c r="D9" t="s">
        <v>1204</v>
      </c>
      <c r="E9" t="s">
        <v>1205</v>
      </c>
      <c r="F9" t="s">
        <v>1206</v>
      </c>
      <c r="G9" t="s">
        <v>1207</v>
      </c>
      <c r="H9" t="s">
        <v>1201</v>
      </c>
      <c r="J9" t="s">
        <v>1188</v>
      </c>
      <c r="K9" t="s">
        <v>537</v>
      </c>
      <c r="L9" t="s">
        <v>1208</v>
      </c>
      <c r="M9" t="s">
        <v>226</v>
      </c>
    </row>
    <row r="10" spans="1:16">
      <c r="A10" t="s">
        <v>1209</v>
      </c>
      <c r="B10" t="s">
        <v>512</v>
      </c>
      <c r="C10" t="s">
        <v>513</v>
      </c>
      <c r="D10" t="s">
        <v>1210</v>
      </c>
      <c r="E10" t="s">
        <v>1211</v>
      </c>
      <c r="F10" t="s">
        <v>1212</v>
      </c>
      <c r="G10" t="s">
        <v>1213</v>
      </c>
      <c r="H10" t="s">
        <v>1201</v>
      </c>
      <c r="J10" t="s">
        <v>1188</v>
      </c>
      <c r="K10" t="s">
        <v>462</v>
      </c>
      <c r="L10" t="s">
        <v>1214</v>
      </c>
      <c r="M10" t="s">
        <v>226</v>
      </c>
    </row>
    <row r="11" spans="1:16">
      <c r="A11" t="s">
        <v>1215</v>
      </c>
      <c r="B11" t="s">
        <v>512</v>
      </c>
      <c r="C11" t="s">
        <v>513</v>
      </c>
      <c r="D11" t="s">
        <v>1216</v>
      </c>
      <c r="E11" t="s">
        <v>1217</v>
      </c>
      <c r="F11" t="s">
        <v>1206</v>
      </c>
      <c r="G11" t="s">
        <v>1218</v>
      </c>
      <c r="H11" t="s">
        <v>1187</v>
      </c>
      <c r="J11" t="s">
        <v>1188</v>
      </c>
      <c r="K11" t="s">
        <v>537</v>
      </c>
      <c r="L11" t="s">
        <v>1219</v>
      </c>
      <c r="M11" t="s">
        <v>226</v>
      </c>
    </row>
    <row r="12" spans="1:16">
      <c r="A12" t="s">
        <v>1220</v>
      </c>
      <c r="B12" t="s">
        <v>533</v>
      </c>
      <c r="C12" t="s">
        <v>534</v>
      </c>
      <c r="D12" t="s">
        <v>1221</v>
      </c>
      <c r="E12" t="s">
        <v>1222</v>
      </c>
      <c r="F12" t="s">
        <v>1185</v>
      </c>
      <c r="G12" t="s">
        <v>1223</v>
      </c>
      <c r="H12" t="s">
        <v>1201</v>
      </c>
      <c r="J12" t="s">
        <v>1188</v>
      </c>
      <c r="K12" t="s">
        <v>462</v>
      </c>
      <c r="L12" t="s">
        <v>1224</v>
      </c>
      <c r="M12" t="s">
        <v>226</v>
      </c>
    </row>
    <row r="13" spans="1:16">
      <c r="A13" t="s">
        <v>1225</v>
      </c>
      <c r="B13" t="s">
        <v>533</v>
      </c>
      <c r="C13" t="s">
        <v>534</v>
      </c>
      <c r="D13" t="s">
        <v>1226</v>
      </c>
      <c r="E13" t="s">
        <v>1227</v>
      </c>
      <c r="F13" t="s">
        <v>1228</v>
      </c>
      <c r="G13" t="s">
        <v>1229</v>
      </c>
      <c r="H13" t="s">
        <v>1201</v>
      </c>
      <c r="J13" t="s">
        <v>1188</v>
      </c>
      <c r="K13" t="s">
        <v>462</v>
      </c>
      <c r="L13" t="s">
        <v>1230</v>
      </c>
      <c r="M13" t="s">
        <v>226</v>
      </c>
    </row>
    <row r="14" spans="1:16">
      <c r="A14" t="s">
        <v>1231</v>
      </c>
      <c r="B14" t="s">
        <v>533</v>
      </c>
      <c r="C14" t="s">
        <v>534</v>
      </c>
      <c r="D14" t="s">
        <v>1232</v>
      </c>
      <c r="E14" t="s">
        <v>1233</v>
      </c>
      <c r="F14" t="s">
        <v>1206</v>
      </c>
      <c r="G14" t="s">
        <v>1234</v>
      </c>
      <c r="H14" t="s">
        <v>1187</v>
      </c>
      <c r="J14" t="s">
        <v>1188</v>
      </c>
      <c r="K14" t="s">
        <v>537</v>
      </c>
      <c r="L14" t="s">
        <v>1235</v>
      </c>
      <c r="M14" t="s">
        <v>226</v>
      </c>
    </row>
    <row r="15" spans="1:16">
      <c r="A15" t="s">
        <v>1236</v>
      </c>
      <c r="B15" t="s">
        <v>556</v>
      </c>
      <c r="C15" t="s">
        <v>557</v>
      </c>
      <c r="D15" t="s">
        <v>1237</v>
      </c>
      <c r="E15" t="s">
        <v>1238</v>
      </c>
      <c r="F15" t="s">
        <v>1185</v>
      </c>
      <c r="G15" t="s">
        <v>1239</v>
      </c>
      <c r="H15" t="s">
        <v>1201</v>
      </c>
      <c r="J15" t="s">
        <v>1188</v>
      </c>
      <c r="K15" t="s">
        <v>462</v>
      </c>
      <c r="L15" t="s">
        <v>1240</v>
      </c>
      <c r="M15" t="s">
        <v>226</v>
      </c>
    </row>
    <row r="16" spans="1:16">
      <c r="A16" t="s">
        <v>1241</v>
      </c>
      <c r="B16" t="s">
        <v>556</v>
      </c>
      <c r="C16" t="s">
        <v>557</v>
      </c>
      <c r="D16" t="s">
        <v>1242</v>
      </c>
      <c r="E16" t="s">
        <v>1243</v>
      </c>
      <c r="F16" t="s">
        <v>1244</v>
      </c>
      <c r="G16" t="s">
        <v>1245</v>
      </c>
      <c r="H16" t="s">
        <v>1201</v>
      </c>
      <c r="J16" t="s">
        <v>1188</v>
      </c>
      <c r="K16" t="s">
        <v>462</v>
      </c>
      <c r="L16" t="s">
        <v>1246</v>
      </c>
      <c r="M16" t="s">
        <v>226</v>
      </c>
    </row>
    <row r="17" spans="1:13">
      <c r="A17" t="s">
        <v>1247</v>
      </c>
      <c r="B17" t="s">
        <v>556</v>
      </c>
      <c r="C17" t="s">
        <v>557</v>
      </c>
      <c r="D17" t="s">
        <v>1248</v>
      </c>
      <c r="E17" t="s">
        <v>1249</v>
      </c>
      <c r="F17" t="s">
        <v>1250</v>
      </c>
      <c r="G17" t="s">
        <v>1251</v>
      </c>
      <c r="H17" t="s">
        <v>1201</v>
      </c>
      <c r="J17" t="s">
        <v>1188</v>
      </c>
      <c r="K17" t="s">
        <v>537</v>
      </c>
      <c r="L17" t="s">
        <v>1252</v>
      </c>
      <c r="M17" t="s">
        <v>226</v>
      </c>
    </row>
    <row r="18" spans="1:13">
      <c r="A18" t="s">
        <v>1253</v>
      </c>
      <c r="B18" t="s">
        <v>575</v>
      </c>
      <c r="C18" t="s">
        <v>576</v>
      </c>
      <c r="D18" t="s">
        <v>1254</v>
      </c>
      <c r="E18" t="s">
        <v>1255</v>
      </c>
      <c r="F18" t="s">
        <v>1256</v>
      </c>
      <c r="G18" t="s">
        <v>1257</v>
      </c>
      <c r="H18" t="s">
        <v>1201</v>
      </c>
      <c r="J18" t="s">
        <v>1188</v>
      </c>
      <c r="K18" t="s">
        <v>462</v>
      </c>
      <c r="L18" t="s">
        <v>1258</v>
      </c>
      <c r="M18" t="s">
        <v>226</v>
      </c>
    </row>
    <row r="19" spans="1:13">
      <c r="A19" t="s">
        <v>1259</v>
      </c>
      <c r="B19" t="s">
        <v>575</v>
      </c>
      <c r="C19" t="s">
        <v>576</v>
      </c>
      <c r="D19" t="s">
        <v>1260</v>
      </c>
      <c r="E19" t="s">
        <v>1261</v>
      </c>
      <c r="F19" t="s">
        <v>1250</v>
      </c>
      <c r="G19" t="s">
        <v>1262</v>
      </c>
      <c r="H19" t="s">
        <v>1201</v>
      </c>
      <c r="J19" t="s">
        <v>1188</v>
      </c>
      <c r="K19" t="s">
        <v>537</v>
      </c>
      <c r="L19" t="s">
        <v>1263</v>
      </c>
      <c r="M19" t="s">
        <v>226</v>
      </c>
    </row>
    <row r="20" spans="1:13">
      <c r="A20" t="s">
        <v>1264</v>
      </c>
      <c r="B20" t="s">
        <v>597</v>
      </c>
      <c r="C20" t="s">
        <v>598</v>
      </c>
      <c r="D20" t="s">
        <v>1265</v>
      </c>
      <c r="E20" t="s">
        <v>1266</v>
      </c>
      <c r="F20" t="s">
        <v>1185</v>
      </c>
      <c r="G20" t="s">
        <v>1267</v>
      </c>
      <c r="H20" t="s">
        <v>1187</v>
      </c>
      <c r="J20" t="s">
        <v>1188</v>
      </c>
      <c r="K20" t="s">
        <v>462</v>
      </c>
      <c r="L20" t="s">
        <v>1268</v>
      </c>
      <c r="M20" t="s">
        <v>226</v>
      </c>
    </row>
    <row r="21" spans="1:13">
      <c r="A21" t="s">
        <v>1269</v>
      </c>
      <c r="B21" t="s">
        <v>597</v>
      </c>
      <c r="C21" t="s">
        <v>598</v>
      </c>
      <c r="D21" t="s">
        <v>1270</v>
      </c>
      <c r="E21" t="s">
        <v>1271</v>
      </c>
      <c r="F21" t="s">
        <v>1272</v>
      </c>
      <c r="G21" t="s">
        <v>1273</v>
      </c>
      <c r="H21" t="s">
        <v>1201</v>
      </c>
      <c r="J21" t="s">
        <v>1188</v>
      </c>
      <c r="K21" t="s">
        <v>462</v>
      </c>
      <c r="L21" t="s">
        <v>1274</v>
      </c>
      <c r="M21" t="s">
        <v>226</v>
      </c>
    </row>
    <row r="22" spans="1:13">
      <c r="A22" t="s">
        <v>1275</v>
      </c>
      <c r="B22" t="s">
        <v>597</v>
      </c>
      <c r="C22" t="s">
        <v>598</v>
      </c>
      <c r="D22" t="s">
        <v>1276</v>
      </c>
      <c r="E22" t="s">
        <v>1277</v>
      </c>
      <c r="F22" t="s">
        <v>1278</v>
      </c>
      <c r="G22" t="s">
        <v>1279</v>
      </c>
      <c r="H22" t="s">
        <v>1187</v>
      </c>
      <c r="J22" t="s">
        <v>1188</v>
      </c>
      <c r="K22" t="s">
        <v>537</v>
      </c>
      <c r="L22" t="s">
        <v>1280</v>
      </c>
      <c r="M22" t="s">
        <v>226</v>
      </c>
    </row>
    <row r="23" spans="1:13">
      <c r="A23" t="s">
        <v>1281</v>
      </c>
      <c r="B23" t="s">
        <v>620</v>
      </c>
      <c r="C23" t="s">
        <v>621</v>
      </c>
      <c r="D23" t="s">
        <v>1282</v>
      </c>
      <c r="E23" t="s">
        <v>1283</v>
      </c>
      <c r="F23" t="s">
        <v>1185</v>
      </c>
      <c r="G23" t="s">
        <v>1284</v>
      </c>
      <c r="H23" t="s">
        <v>1201</v>
      </c>
      <c r="J23" t="s">
        <v>1188</v>
      </c>
      <c r="K23" t="s">
        <v>462</v>
      </c>
      <c r="L23" t="s">
        <v>1285</v>
      </c>
      <c r="M23" t="s">
        <v>226</v>
      </c>
    </row>
    <row r="24" spans="1:13">
      <c r="A24" t="s">
        <v>1286</v>
      </c>
      <c r="B24" t="s">
        <v>620</v>
      </c>
      <c r="C24" t="s">
        <v>621</v>
      </c>
      <c r="D24" t="s">
        <v>1287</v>
      </c>
      <c r="E24" t="s">
        <v>1288</v>
      </c>
      <c r="F24" t="s">
        <v>1289</v>
      </c>
      <c r="G24" t="s">
        <v>1290</v>
      </c>
      <c r="H24" t="s">
        <v>1201</v>
      </c>
      <c r="J24" t="s">
        <v>1188</v>
      </c>
      <c r="K24" t="s">
        <v>537</v>
      </c>
      <c r="L24" t="s">
        <v>1291</v>
      </c>
      <c r="M24" t="s">
        <v>226</v>
      </c>
    </row>
    <row r="25" spans="1:13">
      <c r="A25" t="s">
        <v>1292</v>
      </c>
      <c r="B25" t="s">
        <v>620</v>
      </c>
      <c r="C25" t="s">
        <v>621</v>
      </c>
      <c r="D25" t="s">
        <v>1293</v>
      </c>
      <c r="E25" t="s">
        <v>1294</v>
      </c>
      <c r="F25" t="s">
        <v>1295</v>
      </c>
      <c r="G25" t="s">
        <v>1296</v>
      </c>
      <c r="H25" t="s">
        <v>1201</v>
      </c>
      <c r="J25" t="s">
        <v>1188</v>
      </c>
      <c r="K25" t="s">
        <v>462</v>
      </c>
      <c r="L25" t="s">
        <v>1297</v>
      </c>
      <c r="M25" t="s">
        <v>226</v>
      </c>
    </row>
    <row r="26" spans="1:13">
      <c r="A26" t="s">
        <v>1298</v>
      </c>
      <c r="B26" t="s">
        <v>636</v>
      </c>
      <c r="C26" t="s">
        <v>637</v>
      </c>
      <c r="D26" t="s">
        <v>1299</v>
      </c>
      <c r="E26" t="s">
        <v>1300</v>
      </c>
      <c r="F26" t="s">
        <v>1301</v>
      </c>
      <c r="G26" t="s">
        <v>1302</v>
      </c>
      <c r="H26" t="s">
        <v>1201</v>
      </c>
      <c r="J26" t="s">
        <v>1188</v>
      </c>
      <c r="K26" t="s">
        <v>462</v>
      </c>
      <c r="L26" t="s">
        <v>1303</v>
      </c>
      <c r="M26" t="s">
        <v>226</v>
      </c>
    </row>
    <row r="27" spans="1:13">
      <c r="A27" t="s">
        <v>1304</v>
      </c>
      <c r="B27" t="s">
        <v>636</v>
      </c>
      <c r="C27" t="s">
        <v>637</v>
      </c>
      <c r="D27" t="s">
        <v>1305</v>
      </c>
      <c r="E27" t="s">
        <v>1306</v>
      </c>
      <c r="F27" t="s">
        <v>1307</v>
      </c>
      <c r="G27" t="s">
        <v>1308</v>
      </c>
      <c r="H27" t="s">
        <v>1201</v>
      </c>
      <c r="J27" t="s">
        <v>1188</v>
      </c>
      <c r="K27" t="s">
        <v>462</v>
      </c>
      <c r="L27" t="s">
        <v>1309</v>
      </c>
      <c r="M27" t="s">
        <v>226</v>
      </c>
    </row>
    <row r="28" spans="1:13">
      <c r="A28" t="s">
        <v>1310</v>
      </c>
      <c r="B28" t="s">
        <v>657</v>
      </c>
      <c r="C28" t="s">
        <v>658</v>
      </c>
      <c r="D28" t="s">
        <v>1311</v>
      </c>
      <c r="E28" t="s">
        <v>1312</v>
      </c>
      <c r="F28" t="s">
        <v>1313</v>
      </c>
      <c r="G28" t="s">
        <v>1314</v>
      </c>
      <c r="H28" t="s">
        <v>1201</v>
      </c>
      <c r="J28" t="s">
        <v>1188</v>
      </c>
      <c r="K28" t="s">
        <v>462</v>
      </c>
      <c r="L28" t="s">
        <v>1315</v>
      </c>
      <c r="M28" t="s">
        <v>226</v>
      </c>
    </row>
    <row r="29" spans="1:13">
      <c r="A29" t="s">
        <v>1316</v>
      </c>
      <c r="B29" t="s">
        <v>657</v>
      </c>
      <c r="C29" t="s">
        <v>658</v>
      </c>
      <c r="D29" t="s">
        <v>1317</v>
      </c>
      <c r="E29" t="s">
        <v>1318</v>
      </c>
      <c r="F29" t="s">
        <v>1319</v>
      </c>
      <c r="G29" t="s">
        <v>1320</v>
      </c>
      <c r="H29" t="s">
        <v>1201</v>
      </c>
      <c r="J29" t="s">
        <v>1188</v>
      </c>
      <c r="K29" t="s">
        <v>537</v>
      </c>
      <c r="L29" t="s">
        <v>1321</v>
      </c>
      <c r="M29" t="s">
        <v>226</v>
      </c>
    </row>
    <row r="30" spans="1:13">
      <c r="A30" t="s">
        <v>1322</v>
      </c>
      <c r="B30" t="s">
        <v>678</v>
      </c>
      <c r="C30" t="s">
        <v>679</v>
      </c>
      <c r="D30" t="s">
        <v>1323</v>
      </c>
      <c r="E30" t="s">
        <v>1324</v>
      </c>
      <c r="F30" t="s">
        <v>1325</v>
      </c>
      <c r="G30" t="s">
        <v>1326</v>
      </c>
      <c r="H30" t="s">
        <v>1201</v>
      </c>
      <c r="J30" t="s">
        <v>1188</v>
      </c>
      <c r="K30" t="s">
        <v>462</v>
      </c>
      <c r="L30" t="s">
        <v>1327</v>
      </c>
      <c r="M30" t="s">
        <v>226</v>
      </c>
    </row>
    <row r="31" spans="1:13">
      <c r="A31" t="s">
        <v>1328</v>
      </c>
      <c r="B31" t="s">
        <v>678</v>
      </c>
      <c r="C31" t="s">
        <v>679</v>
      </c>
      <c r="D31" t="s">
        <v>1329</v>
      </c>
      <c r="E31" t="s">
        <v>1330</v>
      </c>
      <c r="F31" t="s">
        <v>1206</v>
      </c>
      <c r="G31" t="s">
        <v>1331</v>
      </c>
      <c r="H31" t="s">
        <v>1201</v>
      </c>
      <c r="J31" t="s">
        <v>1188</v>
      </c>
      <c r="K31" t="s">
        <v>537</v>
      </c>
      <c r="L31" t="s">
        <v>1332</v>
      </c>
      <c r="M31" t="s">
        <v>226</v>
      </c>
    </row>
    <row r="32" spans="1:13">
      <c r="A32" t="s">
        <v>1333</v>
      </c>
      <c r="B32" t="s">
        <v>695</v>
      </c>
      <c r="C32" t="s">
        <v>696</v>
      </c>
      <c r="D32" t="s">
        <v>1334</v>
      </c>
      <c r="E32" t="s">
        <v>1335</v>
      </c>
      <c r="F32" t="s">
        <v>1325</v>
      </c>
      <c r="G32" t="s">
        <v>1336</v>
      </c>
      <c r="H32" t="s">
        <v>1201</v>
      </c>
      <c r="J32" t="s">
        <v>1188</v>
      </c>
      <c r="K32" t="s">
        <v>462</v>
      </c>
      <c r="L32" t="s">
        <v>1337</v>
      </c>
      <c r="M32" t="s">
        <v>226</v>
      </c>
    </row>
    <row r="33" spans="1:13">
      <c r="A33" t="s">
        <v>1338</v>
      </c>
      <c r="B33" t="s">
        <v>695</v>
      </c>
      <c r="C33" t="s">
        <v>696</v>
      </c>
      <c r="D33" t="s">
        <v>1339</v>
      </c>
      <c r="E33" t="s">
        <v>1340</v>
      </c>
      <c r="F33" t="s">
        <v>1295</v>
      </c>
      <c r="G33" t="s">
        <v>1341</v>
      </c>
      <c r="H33" t="s">
        <v>1201</v>
      </c>
      <c r="J33" t="s">
        <v>1188</v>
      </c>
      <c r="K33" t="s">
        <v>462</v>
      </c>
      <c r="L33" t="s">
        <v>1342</v>
      </c>
      <c r="M33" t="s">
        <v>226</v>
      </c>
    </row>
    <row r="34" spans="1:13">
      <c r="A34" t="s">
        <v>1343</v>
      </c>
      <c r="B34" t="s">
        <v>713</v>
      </c>
      <c r="C34" t="s">
        <v>714</v>
      </c>
      <c r="D34" t="s">
        <v>1344</v>
      </c>
      <c r="E34" t="s">
        <v>1345</v>
      </c>
      <c r="F34" t="s">
        <v>1313</v>
      </c>
      <c r="G34" t="s">
        <v>1346</v>
      </c>
      <c r="H34" t="s">
        <v>1187</v>
      </c>
      <c r="J34" t="s">
        <v>1188</v>
      </c>
      <c r="K34" t="s">
        <v>462</v>
      </c>
      <c r="L34" t="s">
        <v>1347</v>
      </c>
      <c r="M34" t="s">
        <v>226</v>
      </c>
    </row>
    <row r="35" spans="1:13">
      <c r="A35" t="s">
        <v>1348</v>
      </c>
      <c r="B35" t="s">
        <v>713</v>
      </c>
      <c r="C35" t="s">
        <v>714</v>
      </c>
      <c r="D35" t="s">
        <v>1349</v>
      </c>
      <c r="E35" t="s">
        <v>1350</v>
      </c>
      <c r="F35" t="s">
        <v>1351</v>
      </c>
      <c r="G35" t="s">
        <v>1352</v>
      </c>
      <c r="H35" t="s">
        <v>1187</v>
      </c>
      <c r="J35" t="s">
        <v>1188</v>
      </c>
      <c r="K35" t="s">
        <v>462</v>
      </c>
      <c r="L35" t="s">
        <v>1353</v>
      </c>
      <c r="M35" t="s">
        <v>226</v>
      </c>
    </row>
    <row r="36" spans="1:13">
      <c r="A36" t="s">
        <v>1354</v>
      </c>
      <c r="B36" t="s">
        <v>713</v>
      </c>
      <c r="C36" t="s">
        <v>714</v>
      </c>
      <c r="D36" t="s">
        <v>1355</v>
      </c>
      <c r="E36" t="s">
        <v>1356</v>
      </c>
      <c r="F36" t="s">
        <v>1357</v>
      </c>
      <c r="G36" t="s">
        <v>1358</v>
      </c>
      <c r="H36" t="s">
        <v>1187</v>
      </c>
      <c r="J36" t="s">
        <v>1188</v>
      </c>
      <c r="K36" t="s">
        <v>462</v>
      </c>
      <c r="L36" t="s">
        <v>1359</v>
      </c>
      <c r="M36" t="s">
        <v>226</v>
      </c>
    </row>
    <row r="37" spans="1:13">
      <c r="A37" t="s">
        <v>1360</v>
      </c>
      <c r="B37" t="s">
        <v>736</v>
      </c>
      <c r="C37" t="s">
        <v>737</v>
      </c>
      <c r="D37" t="s">
        <v>1361</v>
      </c>
      <c r="E37" t="s">
        <v>1362</v>
      </c>
      <c r="F37" t="s">
        <v>1325</v>
      </c>
      <c r="G37" t="s">
        <v>1363</v>
      </c>
      <c r="H37" t="s">
        <v>1364</v>
      </c>
      <c r="J37" t="s">
        <v>1188</v>
      </c>
      <c r="K37" t="s">
        <v>462</v>
      </c>
      <c r="L37" t="s">
        <v>1365</v>
      </c>
      <c r="M37" t="s">
        <v>226</v>
      </c>
    </row>
    <row r="38" spans="1:13">
      <c r="A38" t="s">
        <v>1366</v>
      </c>
      <c r="B38" t="s">
        <v>736</v>
      </c>
      <c r="C38" t="s">
        <v>737</v>
      </c>
      <c r="D38" t="s">
        <v>1367</v>
      </c>
      <c r="E38" t="s">
        <v>1368</v>
      </c>
      <c r="F38" t="s">
        <v>1206</v>
      </c>
      <c r="G38" t="s">
        <v>1369</v>
      </c>
      <c r="H38" t="s">
        <v>1364</v>
      </c>
      <c r="J38" t="s">
        <v>1188</v>
      </c>
      <c r="K38" t="s">
        <v>537</v>
      </c>
      <c r="L38" t="s">
        <v>1370</v>
      </c>
      <c r="M38" t="s">
        <v>226</v>
      </c>
    </row>
    <row r="39" spans="1:13">
      <c r="A39" t="s">
        <v>1371</v>
      </c>
      <c r="B39" t="s">
        <v>756</v>
      </c>
      <c r="C39" t="s">
        <v>757</v>
      </c>
      <c r="D39" t="s">
        <v>1372</v>
      </c>
      <c r="E39" t="s">
        <v>1373</v>
      </c>
      <c r="F39" t="s">
        <v>1325</v>
      </c>
      <c r="G39" t="s">
        <v>1374</v>
      </c>
      <c r="H39" t="s">
        <v>1201</v>
      </c>
      <c r="J39" t="s">
        <v>1188</v>
      </c>
      <c r="K39" t="s">
        <v>462</v>
      </c>
      <c r="L39" t="s">
        <v>1375</v>
      </c>
      <c r="M39" t="s">
        <v>226</v>
      </c>
    </row>
    <row r="40" spans="1:13">
      <c r="A40" t="s">
        <v>1376</v>
      </c>
      <c r="B40" t="s">
        <v>756</v>
      </c>
      <c r="C40" t="s">
        <v>757</v>
      </c>
      <c r="D40" t="s">
        <v>1377</v>
      </c>
      <c r="E40" t="s">
        <v>1378</v>
      </c>
      <c r="F40" t="s">
        <v>1206</v>
      </c>
      <c r="G40" t="s">
        <v>1379</v>
      </c>
      <c r="H40" t="s">
        <v>1201</v>
      </c>
      <c r="J40" t="s">
        <v>1188</v>
      </c>
      <c r="K40" t="s">
        <v>537</v>
      </c>
      <c r="L40" t="s">
        <v>1380</v>
      </c>
      <c r="M40" t="s">
        <v>226</v>
      </c>
    </row>
    <row r="41" spans="1:13">
      <c r="A41" t="s">
        <v>1381</v>
      </c>
      <c r="B41" t="s">
        <v>773</v>
      </c>
      <c r="C41" t="s">
        <v>774</v>
      </c>
      <c r="D41" t="s">
        <v>1382</v>
      </c>
      <c r="E41" t="s">
        <v>1383</v>
      </c>
      <c r="F41" t="s">
        <v>1325</v>
      </c>
      <c r="G41" t="s">
        <v>1384</v>
      </c>
      <c r="H41" t="s">
        <v>1187</v>
      </c>
      <c r="J41" t="s">
        <v>1188</v>
      </c>
      <c r="K41" t="s">
        <v>462</v>
      </c>
      <c r="L41" t="s">
        <v>1385</v>
      </c>
      <c r="M41" t="s">
        <v>226</v>
      </c>
    </row>
    <row r="42" spans="1:13">
      <c r="A42" t="s">
        <v>1386</v>
      </c>
      <c r="B42" t="s">
        <v>773</v>
      </c>
      <c r="C42" t="s">
        <v>774</v>
      </c>
      <c r="D42" t="s">
        <v>1387</v>
      </c>
      <c r="E42" t="s">
        <v>1388</v>
      </c>
      <c r="F42" t="s">
        <v>1389</v>
      </c>
      <c r="G42" t="s">
        <v>1390</v>
      </c>
      <c r="H42" t="s">
        <v>1187</v>
      </c>
      <c r="J42" t="s">
        <v>1188</v>
      </c>
      <c r="K42" t="s">
        <v>462</v>
      </c>
      <c r="L42" t="s">
        <v>1391</v>
      </c>
      <c r="M42" t="s">
        <v>226</v>
      </c>
    </row>
    <row r="43" spans="1:13">
      <c r="A43" t="s">
        <v>1392</v>
      </c>
      <c r="B43" t="s">
        <v>794</v>
      </c>
      <c r="C43" t="s">
        <v>795</v>
      </c>
      <c r="D43" t="s">
        <v>1393</v>
      </c>
      <c r="E43" t="s">
        <v>1394</v>
      </c>
      <c r="F43" t="s">
        <v>1185</v>
      </c>
      <c r="G43" t="s">
        <v>1395</v>
      </c>
      <c r="H43" t="s">
        <v>1201</v>
      </c>
      <c r="J43" t="s">
        <v>1188</v>
      </c>
      <c r="K43" t="s">
        <v>462</v>
      </c>
      <c r="L43" t="s">
        <v>1396</v>
      </c>
      <c r="M43" t="s">
        <v>226</v>
      </c>
    </row>
    <row r="44" spans="1:13">
      <c r="A44" t="s">
        <v>1397</v>
      </c>
      <c r="B44" t="s">
        <v>794</v>
      </c>
      <c r="C44" t="s">
        <v>795</v>
      </c>
      <c r="D44" t="s">
        <v>1398</v>
      </c>
      <c r="E44" t="s">
        <v>1399</v>
      </c>
      <c r="F44" t="s">
        <v>1400</v>
      </c>
      <c r="G44" t="s">
        <v>1401</v>
      </c>
      <c r="H44" t="s">
        <v>1201</v>
      </c>
      <c r="J44" t="s">
        <v>1188</v>
      </c>
      <c r="K44" t="s">
        <v>537</v>
      </c>
      <c r="L44" t="s">
        <v>1402</v>
      </c>
      <c r="M44" t="s">
        <v>226</v>
      </c>
    </row>
    <row r="45" spans="1:13">
      <c r="A45" t="s">
        <v>1403</v>
      </c>
      <c r="B45" t="s">
        <v>809</v>
      </c>
      <c r="C45" t="s">
        <v>810</v>
      </c>
      <c r="D45" t="s">
        <v>1404</v>
      </c>
      <c r="E45" t="s">
        <v>1405</v>
      </c>
      <c r="F45" t="s">
        <v>1185</v>
      </c>
      <c r="G45" t="s">
        <v>1406</v>
      </c>
      <c r="H45" t="s">
        <v>1201</v>
      </c>
      <c r="J45" t="s">
        <v>1188</v>
      </c>
      <c r="K45" t="s">
        <v>462</v>
      </c>
      <c r="L45" t="s">
        <v>1407</v>
      </c>
      <c r="M45" t="s">
        <v>226</v>
      </c>
    </row>
    <row r="46" spans="1:13">
      <c r="A46" t="s">
        <v>1408</v>
      </c>
      <c r="B46" t="s">
        <v>809</v>
      </c>
      <c r="C46" t="s">
        <v>810</v>
      </c>
      <c r="D46" t="s">
        <v>1409</v>
      </c>
      <c r="E46" t="s">
        <v>1410</v>
      </c>
      <c r="F46" t="s">
        <v>1400</v>
      </c>
      <c r="G46" t="s">
        <v>1411</v>
      </c>
      <c r="H46" t="s">
        <v>1201</v>
      </c>
      <c r="J46" t="s">
        <v>1188</v>
      </c>
      <c r="K46" t="s">
        <v>537</v>
      </c>
      <c r="L46" t="s">
        <v>1412</v>
      </c>
      <c r="M46" t="s">
        <v>226</v>
      </c>
    </row>
    <row r="47" spans="1:13">
      <c r="A47" t="s">
        <v>1413</v>
      </c>
      <c r="B47" t="s">
        <v>828</v>
      </c>
      <c r="C47" t="s">
        <v>829</v>
      </c>
      <c r="D47" t="s">
        <v>1414</v>
      </c>
      <c r="E47" t="s">
        <v>1415</v>
      </c>
      <c r="F47" t="s">
        <v>1199</v>
      </c>
      <c r="G47" t="s">
        <v>1416</v>
      </c>
      <c r="H47" t="s">
        <v>1201</v>
      </c>
      <c r="J47" t="s">
        <v>1188</v>
      </c>
      <c r="K47" t="s">
        <v>462</v>
      </c>
      <c r="L47" t="s">
        <v>1417</v>
      </c>
      <c r="M47" t="s">
        <v>226</v>
      </c>
    </row>
    <row r="48" spans="1:13">
      <c r="A48" t="s">
        <v>1418</v>
      </c>
      <c r="B48" t="s">
        <v>845</v>
      </c>
      <c r="C48" t="s">
        <v>846</v>
      </c>
      <c r="D48" t="s">
        <v>1419</v>
      </c>
      <c r="E48" t="s">
        <v>1420</v>
      </c>
      <c r="F48" t="s">
        <v>1185</v>
      </c>
      <c r="G48" t="s">
        <v>1421</v>
      </c>
      <c r="H48" t="s">
        <v>1201</v>
      </c>
      <c r="J48" t="s">
        <v>1188</v>
      </c>
      <c r="K48" t="s">
        <v>462</v>
      </c>
      <c r="L48" t="s">
        <v>1422</v>
      </c>
      <c r="M48" t="s">
        <v>226</v>
      </c>
    </row>
    <row r="49" spans="1:13">
      <c r="A49" t="s">
        <v>1423</v>
      </c>
      <c r="B49" t="s">
        <v>859</v>
      </c>
      <c r="C49" t="s">
        <v>860</v>
      </c>
      <c r="D49" t="s">
        <v>1424</v>
      </c>
      <c r="E49" t="s">
        <v>1425</v>
      </c>
      <c r="F49" t="s">
        <v>1185</v>
      </c>
      <c r="G49" t="s">
        <v>1426</v>
      </c>
      <c r="H49" t="s">
        <v>1201</v>
      </c>
      <c r="J49" t="s">
        <v>1188</v>
      </c>
      <c r="K49" t="s">
        <v>462</v>
      </c>
      <c r="L49" t="s">
        <v>1427</v>
      </c>
      <c r="M49" t="s">
        <v>226</v>
      </c>
    </row>
    <row r="50" spans="1:13">
      <c r="A50" t="s">
        <v>1428</v>
      </c>
      <c r="B50" t="s">
        <v>873</v>
      </c>
      <c r="C50" t="s">
        <v>874</v>
      </c>
      <c r="D50" t="s">
        <v>1429</v>
      </c>
      <c r="E50" t="s">
        <v>1430</v>
      </c>
      <c r="F50" t="s">
        <v>1431</v>
      </c>
      <c r="G50" t="s">
        <v>1432</v>
      </c>
      <c r="H50" t="s">
        <v>1187</v>
      </c>
      <c r="J50" t="s">
        <v>1188</v>
      </c>
      <c r="K50" t="s">
        <v>462</v>
      </c>
      <c r="L50" t="s">
        <v>1433</v>
      </c>
      <c r="M50" t="s">
        <v>226</v>
      </c>
    </row>
    <row r="51" spans="1:13">
      <c r="A51" t="s">
        <v>1434</v>
      </c>
      <c r="B51" t="s">
        <v>873</v>
      </c>
      <c r="C51" t="s">
        <v>874</v>
      </c>
      <c r="D51" t="s">
        <v>1435</v>
      </c>
      <c r="E51" t="s">
        <v>1436</v>
      </c>
      <c r="F51" t="s">
        <v>1206</v>
      </c>
      <c r="G51" t="s">
        <v>1437</v>
      </c>
      <c r="H51" t="s">
        <v>1187</v>
      </c>
      <c r="J51" t="s">
        <v>1188</v>
      </c>
      <c r="K51" t="s">
        <v>537</v>
      </c>
      <c r="L51" t="s">
        <v>1438</v>
      </c>
      <c r="M51" t="s">
        <v>226</v>
      </c>
    </row>
    <row r="52" spans="1:13">
      <c r="A52" t="s">
        <v>1439</v>
      </c>
      <c r="B52" t="s">
        <v>891</v>
      </c>
      <c r="C52" t="s">
        <v>892</v>
      </c>
      <c r="D52" t="s">
        <v>1440</v>
      </c>
      <c r="E52" t="s">
        <v>1441</v>
      </c>
      <c r="F52" t="s">
        <v>1185</v>
      </c>
      <c r="G52" t="s">
        <v>1442</v>
      </c>
      <c r="H52" t="s">
        <v>1201</v>
      </c>
      <c r="J52" t="s">
        <v>1188</v>
      </c>
      <c r="K52" t="s">
        <v>462</v>
      </c>
      <c r="L52" t="s">
        <v>1443</v>
      </c>
      <c r="M52" t="s">
        <v>226</v>
      </c>
    </row>
    <row r="53" spans="1:13">
      <c r="A53" t="s">
        <v>1444</v>
      </c>
      <c r="B53" t="s">
        <v>891</v>
      </c>
      <c r="C53" t="s">
        <v>892</v>
      </c>
      <c r="D53" t="s">
        <v>1445</v>
      </c>
      <c r="E53" t="s">
        <v>1446</v>
      </c>
      <c r="F53" t="s">
        <v>1325</v>
      </c>
      <c r="G53" t="s">
        <v>1447</v>
      </c>
      <c r="H53" t="s">
        <v>1201</v>
      </c>
      <c r="J53" t="s">
        <v>1188</v>
      </c>
      <c r="K53" t="s">
        <v>462</v>
      </c>
      <c r="L53" t="s">
        <v>1448</v>
      </c>
      <c r="M53" t="s">
        <v>226</v>
      </c>
    </row>
    <row r="54" spans="1:13">
      <c r="A54" t="s">
        <v>1449</v>
      </c>
      <c r="B54" t="s">
        <v>891</v>
      </c>
      <c r="C54" t="s">
        <v>892</v>
      </c>
      <c r="D54" t="s">
        <v>1450</v>
      </c>
      <c r="E54" t="s">
        <v>1451</v>
      </c>
      <c r="F54" t="s">
        <v>1452</v>
      </c>
      <c r="G54" t="s">
        <v>1453</v>
      </c>
      <c r="H54" t="s">
        <v>1201</v>
      </c>
      <c r="J54" t="s">
        <v>1188</v>
      </c>
      <c r="K54" t="s">
        <v>537</v>
      </c>
      <c r="L54" t="s">
        <v>1454</v>
      </c>
      <c r="M54" t="s">
        <v>226</v>
      </c>
    </row>
    <row r="55" spans="1:13">
      <c r="A55" t="s">
        <v>1455</v>
      </c>
      <c r="B55" t="s">
        <v>911</v>
      </c>
      <c r="C55" t="s">
        <v>912</v>
      </c>
      <c r="D55" t="s">
        <v>1456</v>
      </c>
      <c r="E55" t="s">
        <v>1457</v>
      </c>
      <c r="F55" t="s">
        <v>1458</v>
      </c>
      <c r="G55" t="s">
        <v>1459</v>
      </c>
      <c r="H55" t="s">
        <v>1187</v>
      </c>
      <c r="J55" t="s">
        <v>1188</v>
      </c>
      <c r="K55" t="s">
        <v>462</v>
      </c>
      <c r="L55" t="s">
        <v>1460</v>
      </c>
      <c r="M55" t="s">
        <v>226</v>
      </c>
    </row>
    <row r="56" spans="1:13">
      <c r="A56" t="s">
        <v>1461</v>
      </c>
      <c r="B56" t="s">
        <v>929</v>
      </c>
      <c r="C56" t="s">
        <v>930</v>
      </c>
      <c r="D56" t="s">
        <v>1462</v>
      </c>
      <c r="E56" t="s">
        <v>1463</v>
      </c>
      <c r="F56" t="s">
        <v>1185</v>
      </c>
      <c r="G56" t="s">
        <v>1464</v>
      </c>
      <c r="H56" t="s">
        <v>1187</v>
      </c>
      <c r="J56" t="s">
        <v>1465</v>
      </c>
      <c r="K56" t="s">
        <v>462</v>
      </c>
      <c r="L56" t="s">
        <v>1466</v>
      </c>
      <c r="M56" t="s">
        <v>226</v>
      </c>
    </row>
    <row r="57" spans="1:13">
      <c r="A57" t="s">
        <v>1467</v>
      </c>
      <c r="B57" t="s">
        <v>929</v>
      </c>
      <c r="C57" t="s">
        <v>930</v>
      </c>
      <c r="D57" t="s">
        <v>1468</v>
      </c>
      <c r="E57" t="s">
        <v>1469</v>
      </c>
      <c r="F57" t="s">
        <v>1206</v>
      </c>
      <c r="G57" t="s">
        <v>1470</v>
      </c>
      <c r="H57" t="s">
        <v>1187</v>
      </c>
      <c r="J57" t="s">
        <v>1188</v>
      </c>
      <c r="K57" t="s">
        <v>462</v>
      </c>
      <c r="L57" t="s">
        <v>1471</v>
      </c>
      <c r="M57" t="s">
        <v>226</v>
      </c>
    </row>
    <row r="58" spans="1:13">
      <c r="A58" t="s">
        <v>1472</v>
      </c>
      <c r="B58" t="s">
        <v>946</v>
      </c>
      <c r="C58" t="s">
        <v>947</v>
      </c>
      <c r="D58" t="s">
        <v>1473</v>
      </c>
      <c r="E58" t="s">
        <v>1474</v>
      </c>
      <c r="F58" t="s">
        <v>1185</v>
      </c>
      <c r="G58" t="s">
        <v>1475</v>
      </c>
      <c r="H58" t="s">
        <v>1201</v>
      </c>
      <c r="J58" t="s">
        <v>1465</v>
      </c>
      <c r="K58" t="s">
        <v>462</v>
      </c>
      <c r="L58" t="s">
        <v>1476</v>
      </c>
      <c r="M58" t="s">
        <v>226</v>
      </c>
    </row>
    <row r="59" spans="1:13">
      <c r="A59" t="s">
        <v>1477</v>
      </c>
      <c r="B59" t="s">
        <v>946</v>
      </c>
      <c r="C59" t="s">
        <v>947</v>
      </c>
      <c r="D59" t="s">
        <v>1478</v>
      </c>
      <c r="E59" t="s">
        <v>1479</v>
      </c>
      <c r="F59" t="s">
        <v>1206</v>
      </c>
      <c r="G59" t="s">
        <v>1480</v>
      </c>
      <c r="H59" t="s">
        <v>1201</v>
      </c>
      <c r="J59" t="s">
        <v>1188</v>
      </c>
      <c r="K59" t="s">
        <v>537</v>
      </c>
      <c r="L59" t="s">
        <v>1481</v>
      </c>
      <c r="M59" t="s">
        <v>226</v>
      </c>
    </row>
    <row r="60" spans="1:13">
      <c r="A60" t="s">
        <v>1482</v>
      </c>
      <c r="B60" t="s">
        <v>963</v>
      </c>
      <c r="C60" t="s">
        <v>964</v>
      </c>
      <c r="D60" t="s">
        <v>1483</v>
      </c>
      <c r="E60" t="s">
        <v>1484</v>
      </c>
      <c r="F60" t="s">
        <v>1431</v>
      </c>
      <c r="G60" t="s">
        <v>1485</v>
      </c>
      <c r="H60" t="s">
        <v>1187</v>
      </c>
      <c r="J60" t="s">
        <v>1188</v>
      </c>
      <c r="K60" t="s">
        <v>462</v>
      </c>
      <c r="L60" t="s">
        <v>1486</v>
      </c>
      <c r="M60" t="s">
        <v>226</v>
      </c>
    </row>
    <row r="61" spans="1:13">
      <c r="A61" t="s">
        <v>1487</v>
      </c>
      <c r="B61" t="s">
        <v>963</v>
      </c>
      <c r="C61" t="s">
        <v>964</v>
      </c>
      <c r="D61" t="s">
        <v>1488</v>
      </c>
      <c r="E61" t="s">
        <v>1489</v>
      </c>
      <c r="F61" t="s">
        <v>1490</v>
      </c>
      <c r="G61" t="s">
        <v>1491</v>
      </c>
      <c r="H61" t="s">
        <v>1187</v>
      </c>
      <c r="J61" t="s">
        <v>1188</v>
      </c>
      <c r="K61" t="s">
        <v>537</v>
      </c>
      <c r="L61" t="s">
        <v>1492</v>
      </c>
      <c r="M61" t="s">
        <v>226</v>
      </c>
    </row>
    <row r="62" spans="1:13">
      <c r="A62" t="s">
        <v>1493</v>
      </c>
      <c r="B62" t="s">
        <v>980</v>
      </c>
      <c r="C62" t="s">
        <v>981</v>
      </c>
      <c r="D62" t="s">
        <v>1494</v>
      </c>
      <c r="E62" t="s">
        <v>1495</v>
      </c>
      <c r="F62" t="s">
        <v>1199</v>
      </c>
      <c r="G62" t="s">
        <v>1496</v>
      </c>
      <c r="H62" t="s">
        <v>1201</v>
      </c>
      <c r="J62" t="s">
        <v>1188</v>
      </c>
      <c r="K62" t="s">
        <v>462</v>
      </c>
      <c r="L62" t="s">
        <v>1497</v>
      </c>
      <c r="M62" t="s">
        <v>226</v>
      </c>
    </row>
    <row r="63" spans="1:13">
      <c r="A63" t="s">
        <v>1498</v>
      </c>
      <c r="B63" t="s">
        <v>980</v>
      </c>
      <c r="C63" t="s">
        <v>981</v>
      </c>
      <c r="D63" t="s">
        <v>1499</v>
      </c>
      <c r="E63" t="s">
        <v>1500</v>
      </c>
      <c r="F63" t="s">
        <v>1501</v>
      </c>
      <c r="G63" t="s">
        <v>1502</v>
      </c>
      <c r="H63" t="s">
        <v>1187</v>
      </c>
      <c r="J63" t="s">
        <v>1188</v>
      </c>
      <c r="K63" t="s">
        <v>537</v>
      </c>
      <c r="L63" t="s">
        <v>1503</v>
      </c>
      <c r="M63" t="s">
        <v>226</v>
      </c>
    </row>
    <row r="64" spans="1:13">
      <c r="A64" t="s">
        <v>1504</v>
      </c>
      <c r="B64" t="s">
        <v>999</v>
      </c>
      <c r="C64" t="s">
        <v>1000</v>
      </c>
      <c r="D64" t="s">
        <v>1505</v>
      </c>
      <c r="E64" t="s">
        <v>1506</v>
      </c>
      <c r="F64" t="s">
        <v>1185</v>
      </c>
      <c r="G64" t="s">
        <v>1507</v>
      </c>
      <c r="H64" t="s">
        <v>1364</v>
      </c>
      <c r="J64" t="s">
        <v>1465</v>
      </c>
      <c r="K64" t="s">
        <v>462</v>
      </c>
      <c r="L64" t="s">
        <v>1508</v>
      </c>
      <c r="M64" t="s">
        <v>226</v>
      </c>
    </row>
    <row r="65" spans="1:13">
      <c r="A65" t="s">
        <v>1509</v>
      </c>
      <c r="B65" t="s">
        <v>999</v>
      </c>
      <c r="C65" t="s">
        <v>1000</v>
      </c>
      <c r="D65" t="s">
        <v>1510</v>
      </c>
      <c r="E65" t="s">
        <v>1511</v>
      </c>
      <c r="F65" t="s">
        <v>1512</v>
      </c>
      <c r="G65" t="s">
        <v>1513</v>
      </c>
      <c r="H65" t="s">
        <v>1364</v>
      </c>
      <c r="J65" t="s">
        <v>1188</v>
      </c>
      <c r="K65" t="s">
        <v>462</v>
      </c>
      <c r="L65" t="s">
        <v>1514</v>
      </c>
      <c r="M65" t="s">
        <v>226</v>
      </c>
    </row>
    <row r="66" spans="1:13">
      <c r="A66" t="s">
        <v>1515</v>
      </c>
      <c r="B66" t="s">
        <v>999</v>
      </c>
      <c r="C66" t="s">
        <v>1000</v>
      </c>
      <c r="D66" t="s">
        <v>1516</v>
      </c>
      <c r="E66" t="s">
        <v>1517</v>
      </c>
      <c r="F66" t="s">
        <v>1490</v>
      </c>
      <c r="G66" t="s">
        <v>1518</v>
      </c>
      <c r="H66" t="s">
        <v>1364</v>
      </c>
      <c r="J66" t="s">
        <v>1188</v>
      </c>
      <c r="K66" t="s">
        <v>537</v>
      </c>
      <c r="L66" t="s">
        <v>1519</v>
      </c>
      <c r="M66" t="s">
        <v>226</v>
      </c>
    </row>
  </sheetData>
  <mergeCells count="2">
    <mergeCell ref="A1:P1"/>
    <mergeCell ref="A2:P2"/>
  </mergeCells>
  <dataValidations count="3">
    <dataValidation type="list" allowBlank="1" showInputMessage="1" showErrorMessage="1" errorTitle="Use a controlled value" error="Select a value from the drop-down list." sqref="J6:J1060" xr:uid="{225AC2E3-0371-40D1-8E8A-82CF40E77552}">
      <formula1>CV_CandidateAssessment</formula1>
    </dataValidation>
    <dataValidation type="list" allowBlank="1" showInputMessage="1" showErrorMessage="1" errorTitle="Use a controlled value" error="Select a value from the drop-down list." sqref="K6:K1060" xr:uid="{927DBAC5-E4EB-4566-9AEF-ECBE5204EF47}">
      <formula1>CV_AIConfidence</formula1>
    </dataValidation>
    <dataValidation type="list" allowBlank="1" showInputMessage="1" showErrorMessage="1" errorTitle="Use a controlled value" error="Select a value from the drop-down list." sqref="M6:M1060" xr:uid="{369FBC99-27FA-4088-8BE9-DC74ABD7439A}">
      <formula1>CV_ReviewStatus</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ECD3-03FB-47EF-91D9-87CB4CC1D0AD}">
  <dimension ref="A1:L5"/>
  <sheetViews>
    <sheetView workbookViewId="0"/>
  </sheetViews>
  <sheetFormatPr defaultRowHeight="14.4"/>
  <cols>
    <col min="1" max="3" width="20" customWidth="1"/>
    <col min="4" max="4" width="18.109375" customWidth="1"/>
    <col min="5" max="6" width="34.33203125" customWidth="1"/>
    <col min="7" max="9" width="18.109375" customWidth="1"/>
    <col min="10" max="10" width="20" customWidth="1"/>
    <col min="11" max="11" width="34.33203125" customWidth="1"/>
    <col min="12" max="12" width="20" customWidth="1"/>
  </cols>
  <sheetData>
    <row r="1" spans="1:12" ht="30" customHeight="1">
      <c r="A1" s="46" t="s">
        <v>55</v>
      </c>
      <c r="B1" s="46"/>
      <c r="C1" s="46"/>
      <c r="D1" s="46"/>
      <c r="E1" s="46"/>
      <c r="F1" s="46"/>
      <c r="G1" s="46"/>
      <c r="H1" s="46"/>
      <c r="I1" s="46"/>
      <c r="J1" s="46"/>
      <c r="K1" s="46"/>
      <c r="L1" s="46"/>
    </row>
    <row r="2" spans="1:12" ht="30" customHeight="1">
      <c r="A2" s="48" t="s">
        <v>56</v>
      </c>
      <c r="B2" s="48"/>
      <c r="C2" s="48"/>
      <c r="D2" s="48"/>
      <c r="E2" s="48"/>
      <c r="F2" s="48"/>
      <c r="G2" s="48"/>
      <c r="H2" s="48"/>
      <c r="I2" s="48"/>
      <c r="J2" s="48"/>
      <c r="K2" s="48"/>
      <c r="L2" s="48"/>
    </row>
    <row r="5" spans="1:12" ht="45" customHeight="1">
      <c r="A5" s="2" t="s">
        <v>1520</v>
      </c>
      <c r="B5" s="2" t="s">
        <v>1172</v>
      </c>
      <c r="C5" s="2" t="s">
        <v>1521</v>
      </c>
      <c r="D5" s="2" t="s">
        <v>1522</v>
      </c>
      <c r="E5" s="2" t="s">
        <v>1523</v>
      </c>
      <c r="F5" s="2" t="s">
        <v>1524</v>
      </c>
      <c r="G5" s="2" t="s">
        <v>206</v>
      </c>
      <c r="H5" s="2" t="s">
        <v>207</v>
      </c>
      <c r="I5" s="2" t="s">
        <v>26</v>
      </c>
      <c r="J5" s="2" t="s">
        <v>208</v>
      </c>
      <c r="K5" s="2" t="s">
        <v>209</v>
      </c>
      <c r="L5" s="2" t="s">
        <v>15</v>
      </c>
    </row>
  </sheetData>
  <mergeCells count="2">
    <mergeCell ref="A1:L1"/>
    <mergeCell ref="A2:L2"/>
  </mergeCells>
  <dataValidations count="3">
    <dataValidation type="list" allowBlank="1" showInputMessage="1" showErrorMessage="1" errorTitle="Use a controlled value" error="Select a value from the drop-down list." sqref="D6:D1000" xr:uid="{AD216381-4FE1-4042-A1B8-AA6AB6E438C1}">
      <formula1>CV_ProblemMappingRelationship</formula1>
    </dataValidation>
    <dataValidation type="list" allowBlank="1" showInputMessage="1" showErrorMessage="1" errorTitle="Use a controlled value" error="Select a value from the drop-down list." sqref="G6:G1000" xr:uid="{616286FE-A8DD-44E0-891D-C7CC0AFCAA74}">
      <formula1>CV_AIConfidence</formula1>
    </dataValidation>
    <dataValidation type="list" allowBlank="1" showInputMessage="1" showErrorMessage="1" errorTitle="Use a controlled value" error="Select a value from the drop-down list." sqref="I6:I1000" xr:uid="{1B182446-FF48-49F6-9722-D8D20F3FADA5}">
      <formula1>CV_ReviewStatus</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7FDDB-C802-4D74-A3AE-0519B4E6BD25}">
  <dimension ref="A1:L66"/>
  <sheetViews>
    <sheetView workbookViewId="0">
      <selection activeCell="H19" sqref="H19"/>
    </sheetView>
  </sheetViews>
  <sheetFormatPr defaultRowHeight="14.4"/>
  <cols>
    <col min="1" max="3" width="13.33203125" customWidth="1"/>
    <col min="4" max="4" width="18.109375" customWidth="1"/>
    <col min="5" max="5" width="8" customWidth="1"/>
    <col min="6" max="6" width="34.33203125" customWidth="1"/>
    <col min="7" max="7" width="18.109375" customWidth="1"/>
    <col min="8" max="8" width="99.6640625" customWidth="1"/>
    <col min="9" max="9" width="18.109375" customWidth="1"/>
    <col min="10" max="10" width="20" customWidth="1"/>
    <col min="11" max="11" width="34.33203125" customWidth="1"/>
    <col min="12" max="12" width="20" customWidth="1"/>
  </cols>
  <sheetData>
    <row r="1" spans="1:12" ht="30" customHeight="1">
      <c r="A1" s="46" t="s">
        <v>57</v>
      </c>
      <c r="B1" s="46"/>
      <c r="C1" s="46"/>
      <c r="D1" s="46"/>
      <c r="E1" s="46"/>
      <c r="F1" s="46"/>
      <c r="G1" s="46"/>
      <c r="H1" s="46"/>
      <c r="I1" s="46"/>
      <c r="J1" s="46"/>
      <c r="K1" s="46"/>
      <c r="L1" s="46"/>
    </row>
    <row r="2" spans="1:12" ht="30" customHeight="1">
      <c r="A2" s="48" t="s">
        <v>58</v>
      </c>
      <c r="B2" s="48"/>
      <c r="C2" s="48"/>
      <c r="D2" s="48"/>
      <c r="E2" s="48"/>
      <c r="F2" s="48"/>
      <c r="G2" s="48"/>
      <c r="H2" s="48"/>
      <c r="I2" s="48"/>
      <c r="J2" s="48"/>
      <c r="K2" s="48"/>
      <c r="L2" s="48"/>
    </row>
    <row r="5" spans="1:12" ht="45" customHeight="1">
      <c r="A5" s="2" t="s">
        <v>1525</v>
      </c>
      <c r="B5" s="2" t="s">
        <v>1526</v>
      </c>
      <c r="C5" s="2" t="s">
        <v>1521</v>
      </c>
      <c r="D5" s="2" t="s">
        <v>1522</v>
      </c>
      <c r="E5" s="2" t="s">
        <v>1523</v>
      </c>
      <c r="F5" s="2" t="s">
        <v>1524</v>
      </c>
      <c r="G5" s="2" t="s">
        <v>206</v>
      </c>
      <c r="H5" s="2" t="s">
        <v>207</v>
      </c>
      <c r="I5" s="2" t="s">
        <v>26</v>
      </c>
      <c r="J5" s="2" t="s">
        <v>208</v>
      </c>
      <c r="K5" s="2" t="s">
        <v>209</v>
      </c>
      <c r="L5" s="2" t="s">
        <v>15</v>
      </c>
    </row>
    <row r="6" spans="1:12">
      <c r="A6" t="s">
        <v>1527</v>
      </c>
      <c r="B6" t="s">
        <v>455</v>
      </c>
      <c r="C6" t="s">
        <v>1182</v>
      </c>
      <c r="D6" t="s">
        <v>1528</v>
      </c>
      <c r="F6" t="s">
        <v>1186</v>
      </c>
      <c r="G6" t="s">
        <v>462</v>
      </c>
      <c r="H6" t="s">
        <v>1189</v>
      </c>
      <c r="I6" t="s">
        <v>226</v>
      </c>
    </row>
    <row r="7" spans="1:12">
      <c r="A7" t="s">
        <v>1529</v>
      </c>
      <c r="B7" t="s">
        <v>455</v>
      </c>
      <c r="C7" t="s">
        <v>1190</v>
      </c>
      <c r="D7" t="s">
        <v>1530</v>
      </c>
      <c r="F7" t="s">
        <v>1194</v>
      </c>
      <c r="G7" t="s">
        <v>537</v>
      </c>
      <c r="H7" t="s">
        <v>1195</v>
      </c>
      <c r="I7" t="s">
        <v>226</v>
      </c>
    </row>
    <row r="8" spans="1:12">
      <c r="A8" t="s">
        <v>1531</v>
      </c>
      <c r="B8" t="s">
        <v>490</v>
      </c>
      <c r="C8" t="s">
        <v>1196</v>
      </c>
      <c r="D8" t="s">
        <v>1528</v>
      </c>
      <c r="F8" t="s">
        <v>1200</v>
      </c>
      <c r="G8" t="s">
        <v>462</v>
      </c>
      <c r="H8" t="s">
        <v>1202</v>
      </c>
      <c r="I8" t="s">
        <v>226</v>
      </c>
    </row>
    <row r="9" spans="1:12">
      <c r="A9" t="s">
        <v>1532</v>
      </c>
      <c r="B9" t="s">
        <v>490</v>
      </c>
      <c r="C9" t="s">
        <v>1203</v>
      </c>
      <c r="D9" t="s">
        <v>1530</v>
      </c>
      <c r="F9" t="s">
        <v>1207</v>
      </c>
      <c r="G9" t="s">
        <v>537</v>
      </c>
      <c r="H9" t="s">
        <v>1208</v>
      </c>
      <c r="I9" t="s">
        <v>226</v>
      </c>
    </row>
    <row r="10" spans="1:12">
      <c r="A10" t="s">
        <v>1533</v>
      </c>
      <c r="B10" t="s">
        <v>512</v>
      </c>
      <c r="C10" t="s">
        <v>1209</v>
      </c>
      <c r="D10" t="s">
        <v>1528</v>
      </c>
      <c r="F10" t="s">
        <v>1213</v>
      </c>
      <c r="G10" t="s">
        <v>462</v>
      </c>
      <c r="H10" t="s">
        <v>1214</v>
      </c>
      <c r="I10" t="s">
        <v>226</v>
      </c>
    </row>
    <row r="11" spans="1:12">
      <c r="A11" t="s">
        <v>1534</v>
      </c>
      <c r="B11" t="s">
        <v>512</v>
      </c>
      <c r="C11" t="s">
        <v>1215</v>
      </c>
      <c r="D11" t="s">
        <v>1530</v>
      </c>
      <c r="F11" t="s">
        <v>1218</v>
      </c>
      <c r="G11" t="s">
        <v>537</v>
      </c>
      <c r="H11" t="s">
        <v>1219</v>
      </c>
      <c r="I11" t="s">
        <v>226</v>
      </c>
    </row>
    <row r="12" spans="1:12">
      <c r="A12" t="s">
        <v>1535</v>
      </c>
      <c r="B12" t="s">
        <v>533</v>
      </c>
      <c r="C12" t="s">
        <v>1220</v>
      </c>
      <c r="D12" t="s">
        <v>1528</v>
      </c>
      <c r="F12" t="s">
        <v>1223</v>
      </c>
      <c r="G12" t="s">
        <v>462</v>
      </c>
      <c r="H12" t="s">
        <v>1224</v>
      </c>
      <c r="I12" t="s">
        <v>226</v>
      </c>
    </row>
    <row r="13" spans="1:12">
      <c r="A13" t="s">
        <v>1536</v>
      </c>
      <c r="B13" t="s">
        <v>533</v>
      </c>
      <c r="C13" t="s">
        <v>1225</v>
      </c>
      <c r="D13" t="s">
        <v>1537</v>
      </c>
      <c r="F13" t="s">
        <v>1229</v>
      </c>
      <c r="G13" t="s">
        <v>462</v>
      </c>
      <c r="H13" t="s">
        <v>1230</v>
      </c>
      <c r="I13" t="s">
        <v>226</v>
      </c>
    </row>
    <row r="14" spans="1:12">
      <c r="A14" t="s">
        <v>1538</v>
      </c>
      <c r="B14" t="s">
        <v>533</v>
      </c>
      <c r="C14" t="s">
        <v>1231</v>
      </c>
      <c r="D14" t="s">
        <v>1530</v>
      </c>
      <c r="F14" t="s">
        <v>1234</v>
      </c>
      <c r="G14" t="s">
        <v>537</v>
      </c>
      <c r="H14" t="s">
        <v>1235</v>
      </c>
      <c r="I14" t="s">
        <v>226</v>
      </c>
    </row>
    <row r="15" spans="1:12">
      <c r="A15" t="s">
        <v>1539</v>
      </c>
      <c r="B15" t="s">
        <v>556</v>
      </c>
      <c r="C15" t="s">
        <v>1236</v>
      </c>
      <c r="D15" t="s">
        <v>1528</v>
      </c>
      <c r="F15" t="s">
        <v>1239</v>
      </c>
      <c r="G15" t="s">
        <v>462</v>
      </c>
      <c r="H15" t="s">
        <v>1240</v>
      </c>
      <c r="I15" t="s">
        <v>226</v>
      </c>
    </row>
    <row r="16" spans="1:12">
      <c r="A16" t="s">
        <v>1540</v>
      </c>
      <c r="B16" t="s">
        <v>556</v>
      </c>
      <c r="C16" t="s">
        <v>1241</v>
      </c>
      <c r="D16" t="s">
        <v>1541</v>
      </c>
      <c r="F16" t="s">
        <v>1245</v>
      </c>
      <c r="G16" t="s">
        <v>462</v>
      </c>
      <c r="H16" t="s">
        <v>1246</v>
      </c>
      <c r="I16" t="s">
        <v>226</v>
      </c>
    </row>
    <row r="17" spans="1:9">
      <c r="A17" t="s">
        <v>1542</v>
      </c>
      <c r="B17" t="s">
        <v>556</v>
      </c>
      <c r="C17" t="s">
        <v>1247</v>
      </c>
      <c r="D17" t="s">
        <v>1541</v>
      </c>
      <c r="F17" t="s">
        <v>1251</v>
      </c>
      <c r="G17" t="s">
        <v>537</v>
      </c>
      <c r="H17" t="s">
        <v>1252</v>
      </c>
      <c r="I17" t="s">
        <v>226</v>
      </c>
    </row>
    <row r="18" spans="1:9">
      <c r="A18" t="s">
        <v>1543</v>
      </c>
      <c r="B18" t="s">
        <v>575</v>
      </c>
      <c r="C18" t="s">
        <v>1253</v>
      </c>
      <c r="D18" t="s">
        <v>1541</v>
      </c>
      <c r="F18" t="s">
        <v>1257</v>
      </c>
      <c r="G18" t="s">
        <v>462</v>
      </c>
      <c r="H18" t="s">
        <v>1258</v>
      </c>
      <c r="I18" t="s">
        <v>226</v>
      </c>
    </row>
    <row r="19" spans="1:9">
      <c r="A19" t="s">
        <v>1544</v>
      </c>
      <c r="B19" t="s">
        <v>575</v>
      </c>
      <c r="C19" t="s">
        <v>1259</v>
      </c>
      <c r="D19" t="s">
        <v>1530</v>
      </c>
      <c r="F19" t="s">
        <v>1262</v>
      </c>
      <c r="G19" t="s">
        <v>537</v>
      </c>
      <c r="H19" t="s">
        <v>1263</v>
      </c>
      <c r="I19" t="s">
        <v>226</v>
      </c>
    </row>
    <row r="20" spans="1:9">
      <c r="A20" t="s">
        <v>1545</v>
      </c>
      <c r="B20" t="s">
        <v>597</v>
      </c>
      <c r="C20" t="s">
        <v>1264</v>
      </c>
      <c r="D20" t="s">
        <v>1528</v>
      </c>
      <c r="F20" t="s">
        <v>1267</v>
      </c>
      <c r="G20" t="s">
        <v>462</v>
      </c>
      <c r="H20" t="s">
        <v>1268</v>
      </c>
      <c r="I20" t="s">
        <v>226</v>
      </c>
    </row>
    <row r="21" spans="1:9">
      <c r="A21" t="s">
        <v>1546</v>
      </c>
      <c r="B21" t="s">
        <v>597</v>
      </c>
      <c r="C21" t="s">
        <v>1269</v>
      </c>
      <c r="D21" t="s">
        <v>1530</v>
      </c>
      <c r="F21" t="s">
        <v>1273</v>
      </c>
      <c r="G21" t="s">
        <v>462</v>
      </c>
      <c r="H21" t="s">
        <v>1274</v>
      </c>
      <c r="I21" t="s">
        <v>226</v>
      </c>
    </row>
    <row r="22" spans="1:9">
      <c r="A22" t="s">
        <v>1547</v>
      </c>
      <c r="B22" t="s">
        <v>597</v>
      </c>
      <c r="C22" t="s">
        <v>1275</v>
      </c>
      <c r="D22" t="s">
        <v>1530</v>
      </c>
      <c r="F22" t="s">
        <v>1279</v>
      </c>
      <c r="G22" t="s">
        <v>537</v>
      </c>
      <c r="H22" t="s">
        <v>1280</v>
      </c>
      <c r="I22" t="s">
        <v>226</v>
      </c>
    </row>
    <row r="23" spans="1:9">
      <c r="A23" t="s">
        <v>1548</v>
      </c>
      <c r="B23" t="s">
        <v>620</v>
      </c>
      <c r="C23" t="s">
        <v>1281</v>
      </c>
      <c r="D23" t="s">
        <v>1541</v>
      </c>
      <c r="F23" t="s">
        <v>1284</v>
      </c>
      <c r="G23" t="s">
        <v>462</v>
      </c>
      <c r="H23" t="s">
        <v>1285</v>
      </c>
      <c r="I23" t="s">
        <v>226</v>
      </c>
    </row>
    <row r="24" spans="1:9">
      <c r="A24" t="s">
        <v>1549</v>
      </c>
      <c r="B24" t="s">
        <v>620</v>
      </c>
      <c r="C24" t="s">
        <v>1286</v>
      </c>
      <c r="D24" t="s">
        <v>1541</v>
      </c>
      <c r="F24" t="s">
        <v>1290</v>
      </c>
      <c r="G24" t="s">
        <v>537</v>
      </c>
      <c r="H24" t="s">
        <v>1291</v>
      </c>
      <c r="I24" t="s">
        <v>226</v>
      </c>
    </row>
    <row r="25" spans="1:9">
      <c r="A25" t="s">
        <v>1550</v>
      </c>
      <c r="B25" t="s">
        <v>620</v>
      </c>
      <c r="C25" t="s">
        <v>1292</v>
      </c>
      <c r="D25" t="s">
        <v>1530</v>
      </c>
      <c r="F25" t="s">
        <v>1296</v>
      </c>
      <c r="G25" t="s">
        <v>462</v>
      </c>
      <c r="H25" t="s">
        <v>1297</v>
      </c>
      <c r="I25" t="s">
        <v>226</v>
      </c>
    </row>
    <row r="26" spans="1:9">
      <c r="A26" t="s">
        <v>1551</v>
      </c>
      <c r="B26" t="s">
        <v>636</v>
      </c>
      <c r="C26" t="s">
        <v>1298</v>
      </c>
      <c r="D26" t="s">
        <v>1528</v>
      </c>
      <c r="F26" t="s">
        <v>1302</v>
      </c>
      <c r="G26" t="s">
        <v>462</v>
      </c>
      <c r="H26" t="s">
        <v>1303</v>
      </c>
      <c r="I26" t="s">
        <v>226</v>
      </c>
    </row>
    <row r="27" spans="1:9">
      <c r="A27" t="s">
        <v>1552</v>
      </c>
      <c r="B27" t="s">
        <v>636</v>
      </c>
      <c r="C27" t="s">
        <v>1304</v>
      </c>
      <c r="D27" t="s">
        <v>1530</v>
      </c>
      <c r="F27" t="s">
        <v>1308</v>
      </c>
      <c r="G27" t="s">
        <v>462</v>
      </c>
      <c r="H27" t="s">
        <v>1309</v>
      </c>
      <c r="I27" t="s">
        <v>226</v>
      </c>
    </row>
    <row r="28" spans="1:9">
      <c r="A28" t="s">
        <v>1553</v>
      </c>
      <c r="B28" t="s">
        <v>657</v>
      </c>
      <c r="C28" t="s">
        <v>1310</v>
      </c>
      <c r="D28" t="s">
        <v>1541</v>
      </c>
      <c r="F28" t="s">
        <v>1314</v>
      </c>
      <c r="G28" t="s">
        <v>462</v>
      </c>
      <c r="H28" t="s">
        <v>1315</v>
      </c>
      <c r="I28" t="s">
        <v>226</v>
      </c>
    </row>
    <row r="29" spans="1:9">
      <c r="A29" t="s">
        <v>1554</v>
      </c>
      <c r="B29" t="s">
        <v>657</v>
      </c>
      <c r="C29" t="s">
        <v>1316</v>
      </c>
      <c r="D29" t="s">
        <v>1530</v>
      </c>
      <c r="F29" t="s">
        <v>1320</v>
      </c>
      <c r="G29" t="s">
        <v>537</v>
      </c>
      <c r="H29" t="s">
        <v>1321</v>
      </c>
      <c r="I29" t="s">
        <v>226</v>
      </c>
    </row>
    <row r="30" spans="1:9">
      <c r="A30" t="s">
        <v>1555</v>
      </c>
      <c r="B30" t="s">
        <v>678</v>
      </c>
      <c r="C30" t="s">
        <v>1322</v>
      </c>
      <c r="D30" t="s">
        <v>1528</v>
      </c>
      <c r="F30" t="s">
        <v>1326</v>
      </c>
      <c r="G30" t="s">
        <v>462</v>
      </c>
      <c r="H30" t="s">
        <v>1327</v>
      </c>
      <c r="I30" t="s">
        <v>226</v>
      </c>
    </row>
    <row r="31" spans="1:9">
      <c r="A31" t="s">
        <v>1556</v>
      </c>
      <c r="B31" t="s">
        <v>678</v>
      </c>
      <c r="C31" t="s">
        <v>1328</v>
      </c>
      <c r="D31" t="s">
        <v>1530</v>
      </c>
      <c r="F31" t="s">
        <v>1331</v>
      </c>
      <c r="G31" t="s">
        <v>537</v>
      </c>
      <c r="H31" t="s">
        <v>1332</v>
      </c>
      <c r="I31" t="s">
        <v>226</v>
      </c>
    </row>
    <row r="32" spans="1:9">
      <c r="A32" t="s">
        <v>1557</v>
      </c>
      <c r="B32" t="s">
        <v>695</v>
      </c>
      <c r="C32" t="s">
        <v>1333</v>
      </c>
      <c r="D32" t="s">
        <v>1528</v>
      </c>
      <c r="F32" t="s">
        <v>1336</v>
      </c>
      <c r="G32" t="s">
        <v>462</v>
      </c>
      <c r="H32" t="s">
        <v>1337</v>
      </c>
      <c r="I32" t="s">
        <v>226</v>
      </c>
    </row>
    <row r="33" spans="1:9">
      <c r="A33" t="s">
        <v>1558</v>
      </c>
      <c r="B33" t="s">
        <v>695</v>
      </c>
      <c r="C33" t="s">
        <v>1338</v>
      </c>
      <c r="D33" t="s">
        <v>1530</v>
      </c>
      <c r="F33" t="s">
        <v>1341</v>
      </c>
      <c r="G33" t="s">
        <v>462</v>
      </c>
      <c r="H33" t="s">
        <v>1342</v>
      </c>
      <c r="I33" t="s">
        <v>226</v>
      </c>
    </row>
    <row r="34" spans="1:9">
      <c r="A34" t="s">
        <v>1559</v>
      </c>
      <c r="B34" t="s">
        <v>713</v>
      </c>
      <c r="C34" t="s">
        <v>1343</v>
      </c>
      <c r="D34" t="s">
        <v>1541</v>
      </c>
      <c r="F34" t="s">
        <v>1346</v>
      </c>
      <c r="G34" t="s">
        <v>462</v>
      </c>
      <c r="H34" t="s">
        <v>1347</v>
      </c>
      <c r="I34" t="s">
        <v>226</v>
      </c>
    </row>
    <row r="35" spans="1:9">
      <c r="A35" t="s">
        <v>1560</v>
      </c>
      <c r="B35" t="s">
        <v>713</v>
      </c>
      <c r="C35" t="s">
        <v>1348</v>
      </c>
      <c r="D35" t="s">
        <v>1530</v>
      </c>
      <c r="F35" t="s">
        <v>1352</v>
      </c>
      <c r="G35" t="s">
        <v>462</v>
      </c>
      <c r="H35" t="s">
        <v>1353</v>
      </c>
      <c r="I35" t="s">
        <v>226</v>
      </c>
    </row>
    <row r="36" spans="1:9">
      <c r="A36" t="s">
        <v>1561</v>
      </c>
      <c r="B36" t="s">
        <v>713</v>
      </c>
      <c r="C36" t="s">
        <v>1354</v>
      </c>
      <c r="D36" t="s">
        <v>1530</v>
      </c>
      <c r="F36" t="s">
        <v>1358</v>
      </c>
      <c r="G36" t="s">
        <v>462</v>
      </c>
      <c r="H36" t="s">
        <v>1359</v>
      </c>
      <c r="I36" t="s">
        <v>226</v>
      </c>
    </row>
    <row r="37" spans="1:9">
      <c r="A37" t="s">
        <v>1562</v>
      </c>
      <c r="B37" t="s">
        <v>736</v>
      </c>
      <c r="C37" t="s">
        <v>1360</v>
      </c>
      <c r="D37" t="s">
        <v>1528</v>
      </c>
      <c r="F37" t="s">
        <v>1363</v>
      </c>
      <c r="G37" t="s">
        <v>462</v>
      </c>
      <c r="H37" t="s">
        <v>1365</v>
      </c>
      <c r="I37" t="s">
        <v>226</v>
      </c>
    </row>
    <row r="38" spans="1:9">
      <c r="A38" t="s">
        <v>1563</v>
      </c>
      <c r="B38" t="s">
        <v>736</v>
      </c>
      <c r="C38" t="s">
        <v>1366</v>
      </c>
      <c r="D38" t="s">
        <v>1530</v>
      </c>
      <c r="F38" t="s">
        <v>1369</v>
      </c>
      <c r="G38" t="s">
        <v>537</v>
      </c>
      <c r="H38" t="s">
        <v>1370</v>
      </c>
      <c r="I38" t="s">
        <v>226</v>
      </c>
    </row>
    <row r="39" spans="1:9">
      <c r="A39" t="s">
        <v>1564</v>
      </c>
      <c r="B39" t="s">
        <v>756</v>
      </c>
      <c r="C39" t="s">
        <v>1371</v>
      </c>
      <c r="D39" t="s">
        <v>1528</v>
      </c>
      <c r="F39" t="s">
        <v>1374</v>
      </c>
      <c r="G39" t="s">
        <v>462</v>
      </c>
      <c r="H39" t="s">
        <v>1375</v>
      </c>
      <c r="I39" t="s">
        <v>226</v>
      </c>
    </row>
    <row r="40" spans="1:9">
      <c r="A40" t="s">
        <v>1565</v>
      </c>
      <c r="B40" t="s">
        <v>756</v>
      </c>
      <c r="C40" t="s">
        <v>1376</v>
      </c>
      <c r="D40" t="s">
        <v>1530</v>
      </c>
      <c r="F40" t="s">
        <v>1379</v>
      </c>
      <c r="G40" t="s">
        <v>537</v>
      </c>
      <c r="H40" t="s">
        <v>1380</v>
      </c>
      <c r="I40" t="s">
        <v>226</v>
      </c>
    </row>
    <row r="41" spans="1:9">
      <c r="A41" t="s">
        <v>1566</v>
      </c>
      <c r="B41" t="s">
        <v>773</v>
      </c>
      <c r="C41" t="s">
        <v>1381</v>
      </c>
      <c r="D41" t="s">
        <v>1528</v>
      </c>
      <c r="F41" t="s">
        <v>1384</v>
      </c>
      <c r="G41" t="s">
        <v>462</v>
      </c>
      <c r="H41" t="s">
        <v>1385</v>
      </c>
      <c r="I41" t="s">
        <v>226</v>
      </c>
    </row>
    <row r="42" spans="1:9">
      <c r="A42" t="s">
        <v>1567</v>
      </c>
      <c r="B42" t="s">
        <v>773</v>
      </c>
      <c r="C42" t="s">
        <v>1386</v>
      </c>
      <c r="D42" t="s">
        <v>1530</v>
      </c>
      <c r="F42" t="s">
        <v>1390</v>
      </c>
      <c r="G42" t="s">
        <v>462</v>
      </c>
      <c r="H42" t="s">
        <v>1391</v>
      </c>
      <c r="I42" t="s">
        <v>226</v>
      </c>
    </row>
    <row r="43" spans="1:9">
      <c r="A43" t="s">
        <v>1568</v>
      </c>
      <c r="B43" t="s">
        <v>794</v>
      </c>
      <c r="C43" t="s">
        <v>1392</v>
      </c>
      <c r="D43" t="s">
        <v>1528</v>
      </c>
      <c r="F43" t="s">
        <v>1395</v>
      </c>
      <c r="G43" t="s">
        <v>462</v>
      </c>
      <c r="H43" t="s">
        <v>1396</v>
      </c>
      <c r="I43" t="s">
        <v>226</v>
      </c>
    </row>
    <row r="44" spans="1:9">
      <c r="A44" t="s">
        <v>1569</v>
      </c>
      <c r="B44" t="s">
        <v>794</v>
      </c>
      <c r="C44" t="s">
        <v>1397</v>
      </c>
      <c r="D44" t="s">
        <v>1530</v>
      </c>
      <c r="F44" t="s">
        <v>1401</v>
      </c>
      <c r="G44" t="s">
        <v>537</v>
      </c>
      <c r="H44" t="s">
        <v>1402</v>
      </c>
      <c r="I44" t="s">
        <v>226</v>
      </c>
    </row>
    <row r="45" spans="1:9">
      <c r="A45" t="s">
        <v>1570</v>
      </c>
      <c r="B45" t="s">
        <v>809</v>
      </c>
      <c r="C45" t="s">
        <v>1403</v>
      </c>
      <c r="D45" t="s">
        <v>1528</v>
      </c>
      <c r="F45" t="s">
        <v>1406</v>
      </c>
      <c r="G45" t="s">
        <v>462</v>
      </c>
      <c r="H45" t="s">
        <v>1407</v>
      </c>
      <c r="I45" t="s">
        <v>226</v>
      </c>
    </row>
    <row r="46" spans="1:9">
      <c r="A46" t="s">
        <v>1571</v>
      </c>
      <c r="B46" t="s">
        <v>809</v>
      </c>
      <c r="C46" t="s">
        <v>1408</v>
      </c>
      <c r="D46" t="s">
        <v>1530</v>
      </c>
      <c r="F46" t="s">
        <v>1411</v>
      </c>
      <c r="G46" t="s">
        <v>537</v>
      </c>
      <c r="H46" t="s">
        <v>1412</v>
      </c>
      <c r="I46" t="s">
        <v>226</v>
      </c>
    </row>
    <row r="47" spans="1:9">
      <c r="A47" t="s">
        <v>1572</v>
      </c>
      <c r="B47" t="s">
        <v>828</v>
      </c>
      <c r="C47" t="s">
        <v>1413</v>
      </c>
      <c r="D47" t="s">
        <v>1528</v>
      </c>
      <c r="F47" t="s">
        <v>1416</v>
      </c>
      <c r="G47" t="s">
        <v>462</v>
      </c>
      <c r="H47" t="s">
        <v>1417</v>
      </c>
      <c r="I47" t="s">
        <v>226</v>
      </c>
    </row>
    <row r="48" spans="1:9">
      <c r="A48" t="s">
        <v>1573</v>
      </c>
      <c r="B48" t="s">
        <v>845</v>
      </c>
      <c r="C48" t="s">
        <v>1418</v>
      </c>
      <c r="D48" t="s">
        <v>1528</v>
      </c>
      <c r="F48" t="s">
        <v>1421</v>
      </c>
      <c r="G48" t="s">
        <v>462</v>
      </c>
      <c r="H48" t="s">
        <v>1422</v>
      </c>
      <c r="I48" t="s">
        <v>226</v>
      </c>
    </row>
    <row r="49" spans="1:9">
      <c r="A49" t="s">
        <v>1574</v>
      </c>
      <c r="B49" t="s">
        <v>859</v>
      </c>
      <c r="C49" t="s">
        <v>1423</v>
      </c>
      <c r="D49" t="s">
        <v>1528</v>
      </c>
      <c r="F49" t="s">
        <v>1426</v>
      </c>
      <c r="G49" t="s">
        <v>462</v>
      </c>
      <c r="H49" t="s">
        <v>1427</v>
      </c>
      <c r="I49" t="s">
        <v>226</v>
      </c>
    </row>
    <row r="50" spans="1:9">
      <c r="A50" t="s">
        <v>1575</v>
      </c>
      <c r="B50" t="s">
        <v>873</v>
      </c>
      <c r="C50" t="s">
        <v>1428</v>
      </c>
      <c r="D50" t="s">
        <v>1528</v>
      </c>
      <c r="F50" t="s">
        <v>1432</v>
      </c>
      <c r="G50" t="s">
        <v>462</v>
      </c>
      <c r="H50" t="s">
        <v>1433</v>
      </c>
      <c r="I50" t="s">
        <v>226</v>
      </c>
    </row>
    <row r="51" spans="1:9">
      <c r="A51" t="s">
        <v>1576</v>
      </c>
      <c r="B51" t="s">
        <v>873</v>
      </c>
      <c r="C51" t="s">
        <v>1434</v>
      </c>
      <c r="D51" t="s">
        <v>1530</v>
      </c>
      <c r="F51" t="s">
        <v>1437</v>
      </c>
      <c r="G51" t="s">
        <v>537</v>
      </c>
      <c r="H51" t="s">
        <v>1438</v>
      </c>
      <c r="I51" t="s">
        <v>226</v>
      </c>
    </row>
    <row r="52" spans="1:9">
      <c r="A52" t="s">
        <v>1577</v>
      </c>
      <c r="B52" t="s">
        <v>891</v>
      </c>
      <c r="C52" t="s">
        <v>1439</v>
      </c>
      <c r="D52" t="s">
        <v>1528</v>
      </c>
      <c r="F52" t="s">
        <v>1442</v>
      </c>
      <c r="G52" t="s">
        <v>462</v>
      </c>
      <c r="H52" t="s">
        <v>1443</v>
      </c>
      <c r="I52" t="s">
        <v>226</v>
      </c>
    </row>
    <row r="53" spans="1:9">
      <c r="A53" t="s">
        <v>1578</v>
      </c>
      <c r="B53" t="s">
        <v>891</v>
      </c>
      <c r="C53" t="s">
        <v>1444</v>
      </c>
      <c r="D53" t="s">
        <v>1528</v>
      </c>
      <c r="F53" t="s">
        <v>1447</v>
      </c>
      <c r="G53" t="s">
        <v>462</v>
      </c>
      <c r="H53" t="s">
        <v>1448</v>
      </c>
      <c r="I53" t="s">
        <v>226</v>
      </c>
    </row>
    <row r="54" spans="1:9">
      <c r="A54" t="s">
        <v>1579</v>
      </c>
      <c r="B54" t="s">
        <v>891</v>
      </c>
      <c r="C54" t="s">
        <v>1449</v>
      </c>
      <c r="D54" t="s">
        <v>1530</v>
      </c>
      <c r="F54" t="s">
        <v>1453</v>
      </c>
      <c r="G54" t="s">
        <v>537</v>
      </c>
      <c r="H54" t="s">
        <v>1454</v>
      </c>
      <c r="I54" t="s">
        <v>226</v>
      </c>
    </row>
    <row r="55" spans="1:9">
      <c r="A55" t="s">
        <v>1580</v>
      </c>
      <c r="B55" t="s">
        <v>911</v>
      </c>
      <c r="C55" t="s">
        <v>1455</v>
      </c>
      <c r="D55" t="s">
        <v>1528</v>
      </c>
      <c r="F55" t="s">
        <v>1459</v>
      </c>
      <c r="G55" t="s">
        <v>462</v>
      </c>
      <c r="H55" t="s">
        <v>1460</v>
      </c>
      <c r="I55" t="s">
        <v>226</v>
      </c>
    </row>
    <row r="56" spans="1:9">
      <c r="A56" t="s">
        <v>1581</v>
      </c>
      <c r="B56" t="s">
        <v>929</v>
      </c>
      <c r="C56" t="s">
        <v>1461</v>
      </c>
      <c r="D56" t="s">
        <v>1528</v>
      </c>
      <c r="F56" t="s">
        <v>1464</v>
      </c>
      <c r="G56" t="s">
        <v>462</v>
      </c>
      <c r="H56" t="s">
        <v>1466</v>
      </c>
      <c r="I56" t="s">
        <v>226</v>
      </c>
    </row>
    <row r="57" spans="1:9">
      <c r="A57" t="s">
        <v>1582</v>
      </c>
      <c r="B57" t="s">
        <v>929</v>
      </c>
      <c r="C57" t="s">
        <v>1467</v>
      </c>
      <c r="D57" t="s">
        <v>1530</v>
      </c>
      <c r="F57" t="s">
        <v>1470</v>
      </c>
      <c r="G57" t="s">
        <v>462</v>
      </c>
      <c r="H57" t="s">
        <v>1471</v>
      </c>
      <c r="I57" t="s">
        <v>226</v>
      </c>
    </row>
    <row r="58" spans="1:9">
      <c r="A58" t="s">
        <v>1583</v>
      </c>
      <c r="B58" t="s">
        <v>946</v>
      </c>
      <c r="C58" t="s">
        <v>1472</v>
      </c>
      <c r="D58" t="s">
        <v>1528</v>
      </c>
      <c r="F58" t="s">
        <v>1475</v>
      </c>
      <c r="G58" t="s">
        <v>462</v>
      </c>
      <c r="H58" t="s">
        <v>1476</v>
      </c>
      <c r="I58" t="s">
        <v>226</v>
      </c>
    </row>
    <row r="59" spans="1:9">
      <c r="A59" t="s">
        <v>1584</v>
      </c>
      <c r="B59" t="s">
        <v>946</v>
      </c>
      <c r="C59" t="s">
        <v>1477</v>
      </c>
      <c r="D59" t="s">
        <v>1530</v>
      </c>
      <c r="F59" t="s">
        <v>1480</v>
      </c>
      <c r="G59" t="s">
        <v>537</v>
      </c>
      <c r="H59" t="s">
        <v>1481</v>
      </c>
      <c r="I59" t="s">
        <v>226</v>
      </c>
    </row>
    <row r="60" spans="1:9">
      <c r="A60" t="s">
        <v>1585</v>
      </c>
      <c r="B60" t="s">
        <v>963</v>
      </c>
      <c r="C60" t="s">
        <v>1482</v>
      </c>
      <c r="D60" t="s">
        <v>1528</v>
      </c>
      <c r="F60" t="s">
        <v>1485</v>
      </c>
      <c r="G60" t="s">
        <v>462</v>
      </c>
      <c r="H60" t="s">
        <v>1486</v>
      </c>
      <c r="I60" t="s">
        <v>226</v>
      </c>
    </row>
    <row r="61" spans="1:9">
      <c r="A61" t="s">
        <v>1586</v>
      </c>
      <c r="B61" t="s">
        <v>963</v>
      </c>
      <c r="C61" t="s">
        <v>1487</v>
      </c>
      <c r="D61" t="s">
        <v>1530</v>
      </c>
      <c r="F61" t="s">
        <v>1491</v>
      </c>
      <c r="G61" t="s">
        <v>537</v>
      </c>
      <c r="H61" t="s">
        <v>1492</v>
      </c>
      <c r="I61" t="s">
        <v>226</v>
      </c>
    </row>
    <row r="62" spans="1:9">
      <c r="A62" t="s">
        <v>1587</v>
      </c>
      <c r="B62" t="s">
        <v>980</v>
      </c>
      <c r="C62" t="s">
        <v>1493</v>
      </c>
      <c r="D62" t="s">
        <v>1528</v>
      </c>
      <c r="F62" t="s">
        <v>1496</v>
      </c>
      <c r="G62" t="s">
        <v>462</v>
      </c>
      <c r="H62" t="s">
        <v>1497</v>
      </c>
      <c r="I62" t="s">
        <v>226</v>
      </c>
    </row>
    <row r="63" spans="1:9">
      <c r="A63" t="s">
        <v>1588</v>
      </c>
      <c r="B63" t="s">
        <v>980</v>
      </c>
      <c r="C63" t="s">
        <v>1498</v>
      </c>
      <c r="D63" t="s">
        <v>1530</v>
      </c>
      <c r="F63" t="s">
        <v>1502</v>
      </c>
      <c r="G63" t="s">
        <v>537</v>
      </c>
      <c r="H63" t="s">
        <v>1503</v>
      </c>
      <c r="I63" t="s">
        <v>226</v>
      </c>
    </row>
    <row r="64" spans="1:9">
      <c r="A64" t="s">
        <v>1589</v>
      </c>
      <c r="B64" t="s">
        <v>999</v>
      </c>
      <c r="C64" t="s">
        <v>1504</v>
      </c>
      <c r="D64" t="s">
        <v>1528</v>
      </c>
      <c r="F64" t="s">
        <v>1507</v>
      </c>
      <c r="G64" t="s">
        <v>462</v>
      </c>
      <c r="H64" t="s">
        <v>1508</v>
      </c>
      <c r="I64" t="s">
        <v>226</v>
      </c>
    </row>
    <row r="65" spans="1:9">
      <c r="A65" t="s">
        <v>1590</v>
      </c>
      <c r="B65" t="s">
        <v>999</v>
      </c>
      <c r="C65" t="s">
        <v>1509</v>
      </c>
      <c r="D65" t="s">
        <v>1528</v>
      </c>
      <c r="F65" t="s">
        <v>1513</v>
      </c>
      <c r="G65" t="s">
        <v>462</v>
      </c>
      <c r="H65" t="s">
        <v>1514</v>
      </c>
      <c r="I65" t="s">
        <v>226</v>
      </c>
    </row>
    <row r="66" spans="1:9">
      <c r="A66" t="s">
        <v>1591</v>
      </c>
      <c r="B66" t="s">
        <v>999</v>
      </c>
      <c r="C66" t="s">
        <v>1515</v>
      </c>
      <c r="D66" t="s">
        <v>1530</v>
      </c>
      <c r="F66" t="s">
        <v>1518</v>
      </c>
      <c r="G66" t="s">
        <v>537</v>
      </c>
      <c r="H66" t="s">
        <v>1519</v>
      </c>
      <c r="I66" t="s">
        <v>226</v>
      </c>
    </row>
  </sheetData>
  <mergeCells count="2">
    <mergeCell ref="A1:L1"/>
    <mergeCell ref="A2:L2"/>
  </mergeCells>
  <dataValidations count="3">
    <dataValidation type="list" allowBlank="1" showInputMessage="1" showErrorMessage="1" errorTitle="Use a controlled value" error="Select a value from the drop-down list." sqref="D6:D1060" xr:uid="{521EAE25-E6C0-4AFF-948A-D64228CC8F59}">
      <formula1>CV_PracticeMappingRelationship</formula1>
    </dataValidation>
    <dataValidation type="list" allowBlank="1" showInputMessage="1" showErrorMessage="1" errorTitle="Use a controlled value" error="Select a value from the drop-down list." sqref="G6:G1060" xr:uid="{7F363042-A467-45A1-AE11-20D29920BD0B}">
      <formula1>CV_AIConfidence</formula1>
    </dataValidation>
    <dataValidation type="list" allowBlank="1" showInputMessage="1" showErrorMessage="1" errorTitle="Use a controlled value" error="Select a value from the drop-down list." sqref="I6:I1060" xr:uid="{B5008D37-EF3B-4461-A04F-F73068A714DF}">
      <formula1>CV_ReviewStatus</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9AFB1-2E6C-462B-90D8-DC1C8595F6A2}">
  <dimension ref="A1:M67"/>
  <sheetViews>
    <sheetView topLeftCell="A49" workbookViewId="0">
      <selection activeCell="B6" sqref="B6"/>
    </sheetView>
  </sheetViews>
  <sheetFormatPr defaultRowHeight="14.4"/>
  <cols>
    <col min="1" max="3" width="20" customWidth="1"/>
    <col min="4" max="4" width="18.109375" customWidth="1"/>
    <col min="5" max="6" width="34.33203125" customWidth="1"/>
    <col min="7" max="10" width="18.109375" customWidth="1"/>
    <col min="11" max="11" width="20" customWidth="1"/>
    <col min="12" max="12" width="34.33203125" customWidth="1"/>
    <col min="13" max="13" width="20" customWidth="1"/>
  </cols>
  <sheetData>
    <row r="1" spans="1:13" ht="30" customHeight="1">
      <c r="A1" s="46" t="s">
        <v>61</v>
      </c>
      <c r="B1" s="46"/>
      <c r="C1" s="46"/>
      <c r="D1" s="46"/>
      <c r="E1" s="46"/>
      <c r="F1" s="46"/>
      <c r="G1" s="46"/>
      <c r="H1" s="46"/>
      <c r="I1" s="46"/>
      <c r="J1" s="46"/>
      <c r="K1" s="46"/>
      <c r="L1" s="46"/>
      <c r="M1" s="46"/>
    </row>
    <row r="2" spans="1:13" ht="30" customHeight="1">
      <c r="A2" s="48" t="s">
        <v>62</v>
      </c>
      <c r="B2" s="48"/>
      <c r="C2" s="48"/>
      <c r="D2" s="48"/>
      <c r="E2" s="48"/>
      <c r="F2" s="48"/>
      <c r="G2" s="48"/>
      <c r="H2" s="48"/>
      <c r="I2" s="48"/>
      <c r="J2" s="48"/>
      <c r="K2" s="48"/>
      <c r="L2" s="48"/>
      <c r="M2" s="48"/>
    </row>
    <row r="5" spans="1:13" ht="45" customHeight="1">
      <c r="A5" s="2" t="s">
        <v>1592</v>
      </c>
      <c r="B5" s="2" t="s">
        <v>1079</v>
      </c>
      <c r="C5" s="2" t="s">
        <v>1521</v>
      </c>
      <c r="D5" s="2" t="s">
        <v>1522</v>
      </c>
      <c r="E5" s="2" t="s">
        <v>1523</v>
      </c>
      <c r="F5" s="2" t="s">
        <v>1524</v>
      </c>
      <c r="G5" s="2" t="s">
        <v>1091</v>
      </c>
      <c r="H5" s="2" t="s">
        <v>206</v>
      </c>
      <c r="I5" s="2" t="s">
        <v>207</v>
      </c>
      <c r="J5" s="2" t="s">
        <v>26</v>
      </c>
      <c r="K5" s="2" t="s">
        <v>208</v>
      </c>
      <c r="L5" s="2" t="s">
        <v>209</v>
      </c>
      <c r="M5" s="2" t="s">
        <v>15</v>
      </c>
    </row>
    <row r="6" spans="1:13" ht="244.8">
      <c r="A6" t="s">
        <v>1593</v>
      </c>
      <c r="B6" t="s">
        <v>1092</v>
      </c>
      <c r="C6" t="s">
        <v>341</v>
      </c>
      <c r="D6" t="s">
        <v>1541</v>
      </c>
      <c r="E6" s="2" t="s">
        <v>1594</v>
      </c>
      <c r="F6" s="2" t="s">
        <v>1595</v>
      </c>
      <c r="G6" t="s">
        <v>1596</v>
      </c>
      <c r="H6" t="s">
        <v>537</v>
      </c>
      <c r="I6" s="2" t="s">
        <v>1597</v>
      </c>
      <c r="J6" t="s">
        <v>226</v>
      </c>
    </row>
    <row r="7" spans="1:13" ht="244.8">
      <c r="A7" t="s">
        <v>1598</v>
      </c>
      <c r="B7" t="s">
        <v>1092</v>
      </c>
      <c r="C7" t="s">
        <v>351</v>
      </c>
      <c r="D7" t="s">
        <v>1541</v>
      </c>
      <c r="E7" s="2" t="s">
        <v>1599</v>
      </c>
      <c r="F7" s="2" t="s">
        <v>1600</v>
      </c>
      <c r="G7" t="s">
        <v>1601</v>
      </c>
      <c r="H7" t="s">
        <v>537</v>
      </c>
      <c r="I7" s="2" t="s">
        <v>1597</v>
      </c>
      <c r="J7" t="s">
        <v>226</v>
      </c>
    </row>
    <row r="8" spans="1:13" ht="187.2">
      <c r="A8" t="s">
        <v>1602</v>
      </c>
      <c r="B8" t="s">
        <v>1092</v>
      </c>
      <c r="C8" t="s">
        <v>238</v>
      </c>
      <c r="D8" t="s">
        <v>1541</v>
      </c>
      <c r="E8" s="2" t="s">
        <v>1603</v>
      </c>
      <c r="F8" s="2" t="s">
        <v>1604</v>
      </c>
      <c r="G8" t="s">
        <v>1605</v>
      </c>
      <c r="H8" t="s">
        <v>537</v>
      </c>
      <c r="I8" s="2" t="s">
        <v>1597</v>
      </c>
      <c r="J8" t="s">
        <v>226</v>
      </c>
    </row>
    <row r="9" spans="1:13" ht="187.2">
      <c r="A9" t="s">
        <v>1606</v>
      </c>
      <c r="B9" t="s">
        <v>1092</v>
      </c>
      <c r="C9" t="s">
        <v>248</v>
      </c>
      <c r="D9" t="s">
        <v>1541</v>
      </c>
      <c r="E9" s="2" t="s">
        <v>1607</v>
      </c>
      <c r="F9" s="2" t="s">
        <v>1608</v>
      </c>
      <c r="G9" t="s">
        <v>1609</v>
      </c>
      <c r="H9" t="s">
        <v>537</v>
      </c>
      <c r="I9" s="2" t="s">
        <v>1597</v>
      </c>
      <c r="J9" t="s">
        <v>226</v>
      </c>
    </row>
    <row r="10" spans="1:13" ht="172.8">
      <c r="A10" t="s">
        <v>1610</v>
      </c>
      <c r="B10" t="s">
        <v>1092</v>
      </c>
      <c r="C10" t="s">
        <v>313</v>
      </c>
      <c r="D10" t="s">
        <v>1541</v>
      </c>
      <c r="E10" s="2" t="s">
        <v>1611</v>
      </c>
      <c r="F10" s="2" t="s">
        <v>1612</v>
      </c>
      <c r="G10" t="s">
        <v>1613</v>
      </c>
      <c r="H10" t="s">
        <v>537</v>
      </c>
      <c r="I10" s="2" t="s">
        <v>1597</v>
      </c>
      <c r="J10" t="s">
        <v>226</v>
      </c>
    </row>
    <row r="11" spans="1:13" ht="244.8">
      <c r="A11" t="s">
        <v>1614</v>
      </c>
      <c r="B11" t="s">
        <v>1092</v>
      </c>
      <c r="C11" t="s">
        <v>321</v>
      </c>
      <c r="D11" t="s">
        <v>1541</v>
      </c>
      <c r="E11" s="2" t="s">
        <v>1615</v>
      </c>
      <c r="F11" s="2" t="s">
        <v>1616</v>
      </c>
      <c r="G11" t="s">
        <v>1617</v>
      </c>
      <c r="H11" t="s">
        <v>537</v>
      </c>
      <c r="I11" s="2" t="s">
        <v>1597</v>
      </c>
      <c r="J11" t="s">
        <v>226</v>
      </c>
    </row>
    <row r="12" spans="1:13" ht="216">
      <c r="A12" t="s">
        <v>1618</v>
      </c>
      <c r="B12" t="s">
        <v>1092</v>
      </c>
      <c r="C12" t="s">
        <v>334</v>
      </c>
      <c r="D12" t="s">
        <v>1619</v>
      </c>
      <c r="E12" s="2" t="s">
        <v>1620</v>
      </c>
      <c r="F12" s="2" t="s">
        <v>1621</v>
      </c>
      <c r="G12" t="s">
        <v>1622</v>
      </c>
      <c r="H12" t="s">
        <v>462</v>
      </c>
      <c r="I12" s="2" t="s">
        <v>1623</v>
      </c>
      <c r="J12" t="s">
        <v>226</v>
      </c>
    </row>
    <row r="13" spans="1:13" ht="230.4">
      <c r="A13" t="s">
        <v>1624</v>
      </c>
      <c r="B13" t="s">
        <v>1092</v>
      </c>
      <c r="C13" t="s">
        <v>211</v>
      </c>
      <c r="D13" t="s">
        <v>1541</v>
      </c>
      <c r="E13" s="2" t="s">
        <v>1625</v>
      </c>
      <c r="F13" s="2" t="s">
        <v>1626</v>
      </c>
      <c r="G13" t="s">
        <v>1627</v>
      </c>
      <c r="H13" t="s">
        <v>537</v>
      </c>
      <c r="I13" s="2" t="s">
        <v>1597</v>
      </c>
      <c r="J13" t="s">
        <v>226</v>
      </c>
    </row>
    <row r="14" spans="1:13" ht="158.4">
      <c r="A14" t="s">
        <v>1628</v>
      </c>
      <c r="B14" t="s">
        <v>1092</v>
      </c>
      <c r="C14" t="s">
        <v>288</v>
      </c>
      <c r="D14" t="s">
        <v>1541</v>
      </c>
      <c r="E14" s="2" t="s">
        <v>1629</v>
      </c>
      <c r="F14" s="2" t="s">
        <v>1630</v>
      </c>
      <c r="G14" t="s">
        <v>1631</v>
      </c>
      <c r="H14" t="s">
        <v>537</v>
      </c>
      <c r="I14" s="2" t="s">
        <v>1597</v>
      </c>
      <c r="J14" t="s">
        <v>226</v>
      </c>
    </row>
    <row r="15" spans="1:13" ht="244.8">
      <c r="A15" t="s">
        <v>1632</v>
      </c>
      <c r="B15" t="s">
        <v>1092</v>
      </c>
      <c r="C15" t="s">
        <v>372</v>
      </c>
      <c r="D15" t="s">
        <v>1541</v>
      </c>
      <c r="E15" s="2" t="s">
        <v>1633</v>
      </c>
      <c r="F15" s="2" t="s">
        <v>1634</v>
      </c>
      <c r="G15" t="s">
        <v>1635</v>
      </c>
      <c r="H15" t="s">
        <v>537</v>
      </c>
      <c r="I15" s="2" t="s">
        <v>1597</v>
      </c>
      <c r="J15" t="s">
        <v>226</v>
      </c>
    </row>
    <row r="16" spans="1:13" ht="259.2">
      <c r="A16" t="s">
        <v>1636</v>
      </c>
      <c r="B16" t="s">
        <v>1105</v>
      </c>
      <c r="C16" t="s">
        <v>341</v>
      </c>
      <c r="D16" t="s">
        <v>1619</v>
      </c>
      <c r="E16" s="2" t="s">
        <v>1637</v>
      </c>
      <c r="F16" s="2" t="s">
        <v>1638</v>
      </c>
      <c r="G16" t="s">
        <v>1639</v>
      </c>
      <c r="H16" t="s">
        <v>462</v>
      </c>
      <c r="I16" s="2" t="s">
        <v>1623</v>
      </c>
      <c r="J16" t="s">
        <v>226</v>
      </c>
    </row>
    <row r="17" spans="1:10" ht="259.2">
      <c r="A17" t="s">
        <v>1640</v>
      </c>
      <c r="B17" t="s">
        <v>1105</v>
      </c>
      <c r="C17" t="s">
        <v>351</v>
      </c>
      <c r="D17" t="s">
        <v>1619</v>
      </c>
      <c r="E17" s="2" t="s">
        <v>1641</v>
      </c>
      <c r="F17" s="2" t="s">
        <v>1642</v>
      </c>
      <c r="G17" t="s">
        <v>1643</v>
      </c>
      <c r="H17" t="s">
        <v>462</v>
      </c>
      <c r="I17" s="2" t="s">
        <v>1623</v>
      </c>
      <c r="J17" t="s">
        <v>226</v>
      </c>
    </row>
    <row r="18" spans="1:10" ht="259.2">
      <c r="A18" t="s">
        <v>1644</v>
      </c>
      <c r="B18" t="s">
        <v>1105</v>
      </c>
      <c r="C18" t="s">
        <v>385</v>
      </c>
      <c r="D18" t="s">
        <v>1541</v>
      </c>
      <c r="E18" s="2" t="s">
        <v>1645</v>
      </c>
      <c r="F18" s="2" t="s">
        <v>1646</v>
      </c>
      <c r="G18" t="s">
        <v>1647</v>
      </c>
      <c r="H18" t="s">
        <v>537</v>
      </c>
      <c r="I18" s="2" t="s">
        <v>1597</v>
      </c>
      <c r="J18" t="s">
        <v>226</v>
      </c>
    </row>
    <row r="19" spans="1:10" ht="201.6">
      <c r="A19" t="s">
        <v>1648</v>
      </c>
      <c r="B19" t="s">
        <v>1105</v>
      </c>
      <c r="C19" t="s">
        <v>238</v>
      </c>
      <c r="D19" t="s">
        <v>1541</v>
      </c>
      <c r="E19" s="2" t="s">
        <v>1649</v>
      </c>
      <c r="F19" s="2" t="s">
        <v>1650</v>
      </c>
      <c r="G19" t="s">
        <v>1651</v>
      </c>
      <c r="H19" t="s">
        <v>537</v>
      </c>
      <c r="I19" s="2" t="s">
        <v>1597</v>
      </c>
      <c r="J19" t="s">
        <v>226</v>
      </c>
    </row>
    <row r="20" spans="1:10" ht="201.6">
      <c r="A20" t="s">
        <v>1652</v>
      </c>
      <c r="B20" t="s">
        <v>1105</v>
      </c>
      <c r="C20" t="s">
        <v>248</v>
      </c>
      <c r="D20" t="s">
        <v>1541</v>
      </c>
      <c r="E20" s="2" t="s">
        <v>1653</v>
      </c>
      <c r="F20" s="2" t="s">
        <v>1654</v>
      </c>
      <c r="G20" t="s">
        <v>1655</v>
      </c>
      <c r="H20" t="s">
        <v>537</v>
      </c>
      <c r="I20" s="2" t="s">
        <v>1597</v>
      </c>
      <c r="J20" t="s">
        <v>226</v>
      </c>
    </row>
    <row r="21" spans="1:10" ht="201.6">
      <c r="A21" t="s">
        <v>1656</v>
      </c>
      <c r="B21" t="s">
        <v>1105</v>
      </c>
      <c r="C21" t="s">
        <v>265</v>
      </c>
      <c r="D21" t="s">
        <v>1541</v>
      </c>
      <c r="E21" s="2" t="s">
        <v>1657</v>
      </c>
      <c r="F21" s="2" t="s">
        <v>1658</v>
      </c>
      <c r="G21" t="s">
        <v>1659</v>
      </c>
      <c r="H21" t="s">
        <v>537</v>
      </c>
      <c r="I21" s="2" t="s">
        <v>1597</v>
      </c>
      <c r="J21" t="s">
        <v>226</v>
      </c>
    </row>
    <row r="22" spans="1:10" ht="187.2">
      <c r="A22" t="s">
        <v>1660</v>
      </c>
      <c r="B22" t="s">
        <v>1105</v>
      </c>
      <c r="C22" t="s">
        <v>313</v>
      </c>
      <c r="D22" t="s">
        <v>1619</v>
      </c>
      <c r="E22" s="2" t="s">
        <v>1661</v>
      </c>
      <c r="F22" s="2" t="s">
        <v>1662</v>
      </c>
      <c r="G22" t="s">
        <v>1663</v>
      </c>
      <c r="H22" t="s">
        <v>462</v>
      </c>
      <c r="I22" s="2" t="s">
        <v>1623</v>
      </c>
      <c r="J22" t="s">
        <v>226</v>
      </c>
    </row>
    <row r="23" spans="1:10" ht="259.2">
      <c r="A23" t="s">
        <v>1664</v>
      </c>
      <c r="B23" t="s">
        <v>1105</v>
      </c>
      <c r="C23" t="s">
        <v>321</v>
      </c>
      <c r="D23" t="s">
        <v>1619</v>
      </c>
      <c r="E23" s="2" t="s">
        <v>1665</v>
      </c>
      <c r="F23" s="2" t="s">
        <v>1666</v>
      </c>
      <c r="G23" t="s">
        <v>1667</v>
      </c>
      <c r="H23" t="s">
        <v>462</v>
      </c>
      <c r="I23" s="2" t="s">
        <v>1623</v>
      </c>
      <c r="J23" t="s">
        <v>226</v>
      </c>
    </row>
    <row r="24" spans="1:10" ht="230.4">
      <c r="A24" t="s">
        <v>1668</v>
      </c>
      <c r="B24" t="s">
        <v>1105</v>
      </c>
      <c r="C24" t="s">
        <v>334</v>
      </c>
      <c r="D24" t="s">
        <v>1619</v>
      </c>
      <c r="E24" s="2" t="s">
        <v>1669</v>
      </c>
      <c r="F24" s="2" t="s">
        <v>1670</v>
      </c>
      <c r="G24" t="s">
        <v>1671</v>
      </c>
      <c r="H24" t="s">
        <v>462</v>
      </c>
      <c r="I24" s="2" t="s">
        <v>1623</v>
      </c>
      <c r="J24" t="s">
        <v>226</v>
      </c>
    </row>
    <row r="25" spans="1:10" ht="244.8">
      <c r="A25" t="s">
        <v>1672</v>
      </c>
      <c r="B25" t="s">
        <v>1105</v>
      </c>
      <c r="C25" t="s">
        <v>211</v>
      </c>
      <c r="D25" t="s">
        <v>1619</v>
      </c>
      <c r="E25" s="2" t="s">
        <v>1673</v>
      </c>
      <c r="F25" s="2" t="s">
        <v>1674</v>
      </c>
      <c r="G25" t="s">
        <v>1675</v>
      </c>
      <c r="H25" t="s">
        <v>462</v>
      </c>
      <c r="I25" s="2" t="s">
        <v>1623</v>
      </c>
      <c r="J25" t="s">
        <v>226</v>
      </c>
    </row>
    <row r="26" spans="1:10" ht="172.8">
      <c r="A26" t="s">
        <v>1676</v>
      </c>
      <c r="B26" t="s">
        <v>1105</v>
      </c>
      <c r="C26" t="s">
        <v>288</v>
      </c>
      <c r="D26" t="s">
        <v>1619</v>
      </c>
      <c r="E26" s="2" t="s">
        <v>1677</v>
      </c>
      <c r="F26" s="2" t="s">
        <v>1678</v>
      </c>
      <c r="G26" t="s">
        <v>1679</v>
      </c>
      <c r="H26" t="s">
        <v>462</v>
      </c>
      <c r="I26" s="2" t="s">
        <v>1623</v>
      </c>
      <c r="J26" t="s">
        <v>226</v>
      </c>
    </row>
    <row r="27" spans="1:10" ht="187.2">
      <c r="A27" t="s">
        <v>1680</v>
      </c>
      <c r="B27" t="s">
        <v>1105</v>
      </c>
      <c r="C27" t="s">
        <v>307</v>
      </c>
      <c r="D27" t="s">
        <v>1541</v>
      </c>
      <c r="E27" s="2" t="s">
        <v>1681</v>
      </c>
      <c r="F27" s="2" t="s">
        <v>1682</v>
      </c>
      <c r="G27" t="s">
        <v>1683</v>
      </c>
      <c r="H27" t="s">
        <v>537</v>
      </c>
      <c r="I27" s="2" t="s">
        <v>1597</v>
      </c>
      <c r="J27" t="s">
        <v>226</v>
      </c>
    </row>
    <row r="28" spans="1:10" ht="201.6">
      <c r="A28" t="s">
        <v>1684</v>
      </c>
      <c r="B28" t="s">
        <v>1105</v>
      </c>
      <c r="C28" t="s">
        <v>296</v>
      </c>
      <c r="D28" t="s">
        <v>1541</v>
      </c>
      <c r="E28" s="2" t="s">
        <v>1685</v>
      </c>
      <c r="F28" s="2" t="s">
        <v>1686</v>
      </c>
      <c r="G28" t="s">
        <v>1687</v>
      </c>
      <c r="H28" t="s">
        <v>537</v>
      </c>
      <c r="I28" s="2" t="s">
        <v>1597</v>
      </c>
      <c r="J28" t="s">
        <v>226</v>
      </c>
    </row>
    <row r="29" spans="1:10" ht="216">
      <c r="A29" t="s">
        <v>1688</v>
      </c>
      <c r="B29" t="s">
        <v>1105</v>
      </c>
      <c r="C29" t="s">
        <v>393</v>
      </c>
      <c r="D29" t="s">
        <v>1541</v>
      </c>
      <c r="E29" s="2" t="s">
        <v>1689</v>
      </c>
      <c r="F29" s="2" t="s">
        <v>1690</v>
      </c>
      <c r="G29" t="s">
        <v>1691</v>
      </c>
      <c r="H29" t="s">
        <v>537</v>
      </c>
      <c r="I29" s="2" t="s">
        <v>1597</v>
      </c>
      <c r="J29" t="s">
        <v>226</v>
      </c>
    </row>
    <row r="30" spans="1:10" ht="316.8">
      <c r="A30" t="s">
        <v>1692</v>
      </c>
      <c r="B30" t="s">
        <v>1105</v>
      </c>
      <c r="C30" t="s">
        <v>228</v>
      </c>
      <c r="D30" t="s">
        <v>1541</v>
      </c>
      <c r="E30" s="2" t="s">
        <v>1693</v>
      </c>
      <c r="F30" s="2" t="s">
        <v>1694</v>
      </c>
      <c r="G30" t="s">
        <v>1695</v>
      </c>
      <c r="H30" t="s">
        <v>537</v>
      </c>
      <c r="I30" s="2" t="s">
        <v>1597</v>
      </c>
      <c r="J30" t="s">
        <v>226</v>
      </c>
    </row>
    <row r="31" spans="1:10" ht="259.2">
      <c r="A31" t="s">
        <v>1696</v>
      </c>
      <c r="B31" t="s">
        <v>1123</v>
      </c>
      <c r="C31" t="s">
        <v>385</v>
      </c>
      <c r="D31" t="s">
        <v>1619</v>
      </c>
      <c r="E31" s="2" t="s">
        <v>1697</v>
      </c>
      <c r="F31" s="2" t="s">
        <v>1698</v>
      </c>
      <c r="G31" t="s">
        <v>1699</v>
      </c>
      <c r="H31" t="s">
        <v>462</v>
      </c>
      <c r="I31" s="2" t="s">
        <v>1623</v>
      </c>
      <c r="J31" t="s">
        <v>226</v>
      </c>
    </row>
    <row r="32" spans="1:10" ht="187.2">
      <c r="A32" t="s">
        <v>1700</v>
      </c>
      <c r="B32" t="s">
        <v>1123</v>
      </c>
      <c r="C32" t="s">
        <v>265</v>
      </c>
      <c r="D32" t="s">
        <v>1541</v>
      </c>
      <c r="E32" s="2" t="s">
        <v>1701</v>
      </c>
      <c r="F32" s="2" t="s">
        <v>1702</v>
      </c>
      <c r="G32" t="s">
        <v>1703</v>
      </c>
      <c r="H32" t="s">
        <v>537</v>
      </c>
      <c r="I32" s="2" t="s">
        <v>1597</v>
      </c>
      <c r="J32" t="s">
        <v>226</v>
      </c>
    </row>
    <row r="33" spans="1:10" ht="172.8">
      <c r="A33" t="s">
        <v>1704</v>
      </c>
      <c r="B33" t="s">
        <v>1123</v>
      </c>
      <c r="C33" t="s">
        <v>313</v>
      </c>
      <c r="D33" t="s">
        <v>1541</v>
      </c>
      <c r="E33" s="2" t="s">
        <v>1705</v>
      </c>
      <c r="F33" s="2" t="s">
        <v>1706</v>
      </c>
      <c r="G33" t="s">
        <v>1707</v>
      </c>
      <c r="H33" t="s">
        <v>537</v>
      </c>
      <c r="I33" s="2" t="s">
        <v>1597</v>
      </c>
      <c r="J33" t="s">
        <v>226</v>
      </c>
    </row>
    <row r="34" spans="1:10" ht="259.2">
      <c r="A34" t="s">
        <v>1708</v>
      </c>
      <c r="B34" t="s">
        <v>1123</v>
      </c>
      <c r="C34" t="s">
        <v>321</v>
      </c>
      <c r="D34" t="s">
        <v>1541</v>
      </c>
      <c r="E34" s="2" t="s">
        <v>1709</v>
      </c>
      <c r="F34" s="2" t="s">
        <v>1710</v>
      </c>
      <c r="G34" t="s">
        <v>1711</v>
      </c>
      <c r="H34" t="s">
        <v>537</v>
      </c>
      <c r="I34" s="2" t="s">
        <v>1597</v>
      </c>
      <c r="J34" t="s">
        <v>226</v>
      </c>
    </row>
    <row r="35" spans="1:10" ht="244.8">
      <c r="A35" t="s">
        <v>1712</v>
      </c>
      <c r="B35" t="s">
        <v>1123</v>
      </c>
      <c r="C35" t="s">
        <v>211</v>
      </c>
      <c r="D35" t="s">
        <v>1541</v>
      </c>
      <c r="E35" s="2" t="s">
        <v>1713</v>
      </c>
      <c r="F35" s="2" t="s">
        <v>1714</v>
      </c>
      <c r="G35" t="s">
        <v>1715</v>
      </c>
      <c r="H35" t="s">
        <v>537</v>
      </c>
      <c r="I35" s="2" t="s">
        <v>1597</v>
      </c>
      <c r="J35" t="s">
        <v>226</v>
      </c>
    </row>
    <row r="36" spans="1:10" ht="172.8">
      <c r="A36" t="s">
        <v>1716</v>
      </c>
      <c r="B36" t="s">
        <v>1123</v>
      </c>
      <c r="C36" t="s">
        <v>288</v>
      </c>
      <c r="D36" t="s">
        <v>1541</v>
      </c>
      <c r="E36" s="2" t="s">
        <v>1717</v>
      </c>
      <c r="F36" s="2" t="s">
        <v>1718</v>
      </c>
      <c r="G36" t="s">
        <v>1719</v>
      </c>
      <c r="H36" t="s">
        <v>537</v>
      </c>
      <c r="I36" s="2" t="s">
        <v>1597</v>
      </c>
      <c r="J36" t="s">
        <v>226</v>
      </c>
    </row>
    <row r="37" spans="1:10" ht="230.4">
      <c r="A37" t="s">
        <v>1720</v>
      </c>
      <c r="B37" t="s">
        <v>1133</v>
      </c>
      <c r="C37" t="s">
        <v>256</v>
      </c>
      <c r="D37" t="s">
        <v>1619</v>
      </c>
      <c r="E37" s="2" t="s">
        <v>1721</v>
      </c>
      <c r="F37" s="2" t="s">
        <v>1722</v>
      </c>
      <c r="G37" t="s">
        <v>1723</v>
      </c>
      <c r="H37" t="s">
        <v>462</v>
      </c>
      <c r="I37" s="2" t="s">
        <v>1623</v>
      </c>
      <c r="J37" t="s">
        <v>226</v>
      </c>
    </row>
    <row r="38" spans="1:10" ht="244.8">
      <c r="A38" t="s">
        <v>1724</v>
      </c>
      <c r="B38" t="s">
        <v>1133</v>
      </c>
      <c r="C38" t="s">
        <v>328</v>
      </c>
      <c r="D38" t="s">
        <v>1541</v>
      </c>
      <c r="E38" s="2" t="s">
        <v>1725</v>
      </c>
      <c r="F38" s="2" t="s">
        <v>1726</v>
      </c>
      <c r="G38" t="s">
        <v>1727</v>
      </c>
      <c r="H38" t="s">
        <v>537</v>
      </c>
      <c r="I38" s="2" t="s">
        <v>1597</v>
      </c>
      <c r="J38" t="s">
        <v>226</v>
      </c>
    </row>
    <row r="39" spans="1:10" ht="259.2">
      <c r="A39" t="s">
        <v>1728</v>
      </c>
      <c r="B39" t="s">
        <v>1133</v>
      </c>
      <c r="C39" t="s">
        <v>359</v>
      </c>
      <c r="D39" t="s">
        <v>1619</v>
      </c>
      <c r="E39" s="2" t="s">
        <v>1729</v>
      </c>
      <c r="F39" s="2" t="s">
        <v>1730</v>
      </c>
      <c r="G39" t="s">
        <v>1731</v>
      </c>
      <c r="H39" t="s">
        <v>462</v>
      </c>
      <c r="I39" s="2" t="s">
        <v>1623</v>
      </c>
      <c r="J39" t="s">
        <v>226</v>
      </c>
    </row>
    <row r="40" spans="1:10" ht="288">
      <c r="A40" t="s">
        <v>1732</v>
      </c>
      <c r="B40" t="s">
        <v>1133</v>
      </c>
      <c r="C40" t="s">
        <v>404</v>
      </c>
      <c r="D40" t="s">
        <v>1541</v>
      </c>
      <c r="E40" s="2" t="s">
        <v>1733</v>
      </c>
      <c r="F40" s="2" t="s">
        <v>1734</v>
      </c>
      <c r="G40" t="s">
        <v>1735</v>
      </c>
      <c r="H40" t="s">
        <v>537</v>
      </c>
      <c r="I40" s="2" t="s">
        <v>1597</v>
      </c>
      <c r="J40" t="s">
        <v>226</v>
      </c>
    </row>
    <row r="41" spans="1:10" ht="187.2">
      <c r="A41" t="s">
        <v>1736</v>
      </c>
      <c r="B41" t="s">
        <v>1133</v>
      </c>
      <c r="C41" t="s">
        <v>365</v>
      </c>
      <c r="D41" t="s">
        <v>1541</v>
      </c>
      <c r="E41" s="2" t="s">
        <v>1737</v>
      </c>
      <c r="F41" s="2" t="s">
        <v>1738</v>
      </c>
      <c r="G41" t="s">
        <v>1739</v>
      </c>
      <c r="H41" t="s">
        <v>537</v>
      </c>
      <c r="I41" s="2" t="s">
        <v>1597</v>
      </c>
      <c r="J41" t="s">
        <v>226</v>
      </c>
    </row>
    <row r="42" spans="1:10" ht="230.4">
      <c r="A42" t="s">
        <v>1740</v>
      </c>
      <c r="B42" t="s">
        <v>1140</v>
      </c>
      <c r="C42" t="s">
        <v>256</v>
      </c>
      <c r="D42" t="s">
        <v>1541</v>
      </c>
      <c r="E42" s="2" t="s">
        <v>1741</v>
      </c>
      <c r="F42" s="2" t="s">
        <v>1742</v>
      </c>
      <c r="G42" t="s">
        <v>1743</v>
      </c>
      <c r="H42" t="s">
        <v>537</v>
      </c>
      <c r="I42" s="2" t="s">
        <v>1597</v>
      </c>
      <c r="J42" t="s">
        <v>226</v>
      </c>
    </row>
    <row r="43" spans="1:10" ht="230.4">
      <c r="A43" t="s">
        <v>1744</v>
      </c>
      <c r="B43" t="s">
        <v>1140</v>
      </c>
      <c r="C43" t="s">
        <v>328</v>
      </c>
      <c r="D43" t="s">
        <v>1619</v>
      </c>
      <c r="E43" s="2" t="s">
        <v>1745</v>
      </c>
      <c r="F43" s="2" t="s">
        <v>1746</v>
      </c>
      <c r="G43" t="s">
        <v>1747</v>
      </c>
      <c r="H43" t="s">
        <v>462</v>
      </c>
      <c r="I43" s="2" t="s">
        <v>1623</v>
      </c>
      <c r="J43" t="s">
        <v>226</v>
      </c>
    </row>
    <row r="44" spans="1:10" ht="244.8">
      <c r="A44" t="s">
        <v>1748</v>
      </c>
      <c r="B44" t="s">
        <v>1140</v>
      </c>
      <c r="C44" t="s">
        <v>359</v>
      </c>
      <c r="D44" t="s">
        <v>1541</v>
      </c>
      <c r="E44" s="2" t="s">
        <v>1749</v>
      </c>
      <c r="F44" s="2" t="s">
        <v>1750</v>
      </c>
      <c r="G44" t="s">
        <v>1751</v>
      </c>
      <c r="H44" t="s">
        <v>537</v>
      </c>
      <c r="I44" s="2" t="s">
        <v>1597</v>
      </c>
      <c r="J44" t="s">
        <v>226</v>
      </c>
    </row>
    <row r="45" spans="1:10" ht="187.2">
      <c r="A45" t="s">
        <v>1752</v>
      </c>
      <c r="B45" t="s">
        <v>1140</v>
      </c>
      <c r="C45" t="s">
        <v>296</v>
      </c>
      <c r="D45" t="s">
        <v>1541</v>
      </c>
      <c r="E45" s="2" t="s">
        <v>1753</v>
      </c>
      <c r="F45" s="2" t="s">
        <v>1754</v>
      </c>
      <c r="G45" t="s">
        <v>1755</v>
      </c>
      <c r="H45" t="s">
        <v>537</v>
      </c>
      <c r="I45" s="2" t="s">
        <v>1597</v>
      </c>
      <c r="J45" t="s">
        <v>226</v>
      </c>
    </row>
    <row r="46" spans="1:10" ht="273.60000000000002">
      <c r="A46" t="s">
        <v>1756</v>
      </c>
      <c r="B46" t="s">
        <v>1140</v>
      </c>
      <c r="C46" t="s">
        <v>404</v>
      </c>
      <c r="D46" t="s">
        <v>1619</v>
      </c>
      <c r="E46" s="2" t="s">
        <v>1757</v>
      </c>
      <c r="F46" s="2" t="s">
        <v>1758</v>
      </c>
      <c r="G46" t="s">
        <v>1759</v>
      </c>
      <c r="H46" t="s">
        <v>462</v>
      </c>
      <c r="I46" s="2" t="s">
        <v>1623</v>
      </c>
      <c r="J46" t="s">
        <v>226</v>
      </c>
    </row>
    <row r="47" spans="1:10" ht="187.2">
      <c r="A47" t="s">
        <v>1760</v>
      </c>
      <c r="B47" t="s">
        <v>1140</v>
      </c>
      <c r="C47" t="s">
        <v>365</v>
      </c>
      <c r="D47" t="s">
        <v>1619</v>
      </c>
      <c r="E47" s="2" t="s">
        <v>1761</v>
      </c>
      <c r="F47" s="2" t="s">
        <v>1762</v>
      </c>
      <c r="G47" t="s">
        <v>1763</v>
      </c>
      <c r="H47" t="s">
        <v>462</v>
      </c>
      <c r="I47" s="2" t="s">
        <v>1623</v>
      </c>
      <c r="J47" t="s">
        <v>226</v>
      </c>
    </row>
    <row r="48" spans="1:10" ht="230.4">
      <c r="A48" t="s">
        <v>1764</v>
      </c>
      <c r="B48" t="s">
        <v>1148</v>
      </c>
      <c r="C48" t="s">
        <v>328</v>
      </c>
      <c r="D48" t="s">
        <v>1541</v>
      </c>
      <c r="E48" s="2" t="s">
        <v>1765</v>
      </c>
      <c r="F48" s="2" t="s">
        <v>1766</v>
      </c>
      <c r="G48" t="s">
        <v>1767</v>
      </c>
      <c r="H48" t="s">
        <v>537</v>
      </c>
      <c r="I48" s="2" t="s">
        <v>1597</v>
      </c>
      <c r="J48" t="s">
        <v>226</v>
      </c>
    </row>
    <row r="49" spans="1:10" ht="172.8">
      <c r="A49" t="s">
        <v>1768</v>
      </c>
      <c r="B49" t="s">
        <v>1148</v>
      </c>
      <c r="C49" t="s">
        <v>265</v>
      </c>
      <c r="D49" t="s">
        <v>1619</v>
      </c>
      <c r="E49" s="2" t="s">
        <v>1769</v>
      </c>
      <c r="F49" s="2" t="s">
        <v>1770</v>
      </c>
      <c r="G49" t="s">
        <v>1771</v>
      </c>
      <c r="H49" t="s">
        <v>462</v>
      </c>
      <c r="I49" s="2" t="s">
        <v>1623</v>
      </c>
      <c r="J49" t="s">
        <v>226</v>
      </c>
    </row>
    <row r="50" spans="1:10" ht="158.4">
      <c r="A50" t="s">
        <v>1772</v>
      </c>
      <c r="B50" t="s">
        <v>1148</v>
      </c>
      <c r="C50" t="s">
        <v>313</v>
      </c>
      <c r="D50" t="s">
        <v>1541</v>
      </c>
      <c r="E50" s="2" t="s">
        <v>1773</v>
      </c>
      <c r="F50" s="2" t="s">
        <v>1774</v>
      </c>
      <c r="G50" t="s">
        <v>1775</v>
      </c>
      <c r="H50" t="s">
        <v>537</v>
      </c>
      <c r="I50" s="2" t="s">
        <v>1597</v>
      </c>
      <c r="J50" t="s">
        <v>226</v>
      </c>
    </row>
    <row r="51" spans="1:10" ht="273.60000000000002">
      <c r="A51" t="s">
        <v>1776</v>
      </c>
      <c r="B51" t="s">
        <v>1148</v>
      </c>
      <c r="C51" t="s">
        <v>404</v>
      </c>
      <c r="D51" t="s">
        <v>1541</v>
      </c>
      <c r="E51" s="2" t="s">
        <v>1777</v>
      </c>
      <c r="F51" s="2" t="s">
        <v>1778</v>
      </c>
      <c r="G51" t="s">
        <v>1779</v>
      </c>
      <c r="H51" t="s">
        <v>537</v>
      </c>
      <c r="I51" s="2" t="s">
        <v>1597</v>
      </c>
      <c r="J51" t="s">
        <v>226</v>
      </c>
    </row>
    <row r="52" spans="1:10" ht="244.8">
      <c r="A52" t="s">
        <v>1780</v>
      </c>
      <c r="B52" t="s">
        <v>1148</v>
      </c>
      <c r="C52" t="s">
        <v>372</v>
      </c>
      <c r="D52" t="s">
        <v>1541</v>
      </c>
      <c r="E52" s="2" t="s">
        <v>1781</v>
      </c>
      <c r="F52" s="2" t="s">
        <v>1782</v>
      </c>
      <c r="G52" t="s">
        <v>1783</v>
      </c>
      <c r="H52" t="s">
        <v>537</v>
      </c>
      <c r="I52" s="2" t="s">
        <v>1597</v>
      </c>
      <c r="J52" t="s">
        <v>226</v>
      </c>
    </row>
    <row r="53" spans="1:10" ht="230.4">
      <c r="A53" t="s">
        <v>1784</v>
      </c>
      <c r="B53" t="s">
        <v>1155</v>
      </c>
      <c r="C53" t="s">
        <v>341</v>
      </c>
      <c r="D53" t="s">
        <v>1541</v>
      </c>
      <c r="E53" s="2" t="s">
        <v>1785</v>
      </c>
      <c r="F53" s="2" t="s">
        <v>1786</v>
      </c>
      <c r="G53" t="s">
        <v>1787</v>
      </c>
      <c r="H53" t="s">
        <v>537</v>
      </c>
      <c r="I53" s="2" t="s">
        <v>1597</v>
      </c>
      <c r="J53" t="s">
        <v>226</v>
      </c>
    </row>
    <row r="54" spans="1:10" ht="158.4">
      <c r="A54" t="s">
        <v>1788</v>
      </c>
      <c r="B54" t="s">
        <v>1155</v>
      </c>
      <c r="C54" t="s">
        <v>313</v>
      </c>
      <c r="D54" t="s">
        <v>1619</v>
      </c>
      <c r="E54" s="2" t="s">
        <v>1789</v>
      </c>
      <c r="F54" s="2" t="s">
        <v>1790</v>
      </c>
      <c r="G54" t="s">
        <v>1791</v>
      </c>
      <c r="H54" t="s">
        <v>462</v>
      </c>
      <c r="I54" s="2" t="s">
        <v>1623</v>
      </c>
      <c r="J54" t="s">
        <v>226</v>
      </c>
    </row>
    <row r="55" spans="1:10" ht="201.6">
      <c r="A55" t="s">
        <v>1792</v>
      </c>
      <c r="B55" t="s">
        <v>1155</v>
      </c>
      <c r="C55" t="s">
        <v>334</v>
      </c>
      <c r="D55" t="s">
        <v>1541</v>
      </c>
      <c r="E55" s="2" t="s">
        <v>1793</v>
      </c>
      <c r="F55" s="2" t="s">
        <v>1794</v>
      </c>
      <c r="G55" t="s">
        <v>1795</v>
      </c>
      <c r="H55" t="s">
        <v>537</v>
      </c>
      <c r="I55" s="2" t="s">
        <v>1597</v>
      </c>
      <c r="J55" t="s">
        <v>226</v>
      </c>
    </row>
    <row r="56" spans="1:10" ht="216">
      <c r="A56" t="s">
        <v>1796</v>
      </c>
      <c r="B56" t="s">
        <v>1155</v>
      </c>
      <c r="C56" t="s">
        <v>211</v>
      </c>
      <c r="D56" t="s">
        <v>1541</v>
      </c>
      <c r="E56" s="2" t="s">
        <v>1797</v>
      </c>
      <c r="F56" s="2" t="s">
        <v>1798</v>
      </c>
      <c r="G56" t="s">
        <v>1799</v>
      </c>
      <c r="H56" t="s">
        <v>537</v>
      </c>
      <c r="I56" s="2" t="s">
        <v>1597</v>
      </c>
      <c r="J56" t="s">
        <v>226</v>
      </c>
    </row>
    <row r="57" spans="1:10" ht="230.4">
      <c r="A57" t="s">
        <v>1800</v>
      </c>
      <c r="B57" t="s">
        <v>1801</v>
      </c>
      <c r="C57" t="s">
        <v>273</v>
      </c>
      <c r="D57" t="s">
        <v>1802</v>
      </c>
      <c r="E57" s="2" t="s">
        <v>1803</v>
      </c>
      <c r="F57" s="2" t="s">
        <v>1804</v>
      </c>
      <c r="G57" t="s">
        <v>1805</v>
      </c>
      <c r="H57" t="s">
        <v>579</v>
      </c>
      <c r="I57" s="2" t="s">
        <v>1806</v>
      </c>
      <c r="J57" t="s">
        <v>226</v>
      </c>
    </row>
    <row r="58" spans="1:10" ht="273.60000000000002">
      <c r="A58" t="s">
        <v>1807</v>
      </c>
      <c r="B58" t="s">
        <v>1801</v>
      </c>
      <c r="C58" t="s">
        <v>409</v>
      </c>
      <c r="D58" t="s">
        <v>1802</v>
      </c>
      <c r="E58" s="2" t="s">
        <v>1808</v>
      </c>
      <c r="F58" s="2" t="s">
        <v>1809</v>
      </c>
      <c r="G58" t="s">
        <v>1810</v>
      </c>
      <c r="H58" t="s">
        <v>579</v>
      </c>
      <c r="I58" s="2" t="s">
        <v>1806</v>
      </c>
      <c r="J58" t="s">
        <v>226</v>
      </c>
    </row>
    <row r="59" spans="1:10" ht="187.2">
      <c r="A59" t="s">
        <v>1811</v>
      </c>
      <c r="B59" t="s">
        <v>1801</v>
      </c>
      <c r="C59" t="s">
        <v>238</v>
      </c>
      <c r="D59" t="s">
        <v>1541</v>
      </c>
      <c r="E59" s="2" t="s">
        <v>1812</v>
      </c>
      <c r="F59" s="2" t="s">
        <v>1813</v>
      </c>
      <c r="G59" t="s">
        <v>1814</v>
      </c>
      <c r="H59" t="s">
        <v>537</v>
      </c>
      <c r="I59" s="2" t="s">
        <v>1597</v>
      </c>
      <c r="J59" t="s">
        <v>226</v>
      </c>
    </row>
    <row r="60" spans="1:10" ht="172.8">
      <c r="A60" t="s">
        <v>1815</v>
      </c>
      <c r="B60" t="s">
        <v>1801</v>
      </c>
      <c r="C60" t="s">
        <v>248</v>
      </c>
      <c r="D60" t="s">
        <v>1541</v>
      </c>
      <c r="E60" s="2" t="s">
        <v>1816</v>
      </c>
      <c r="F60" s="2" t="s">
        <v>1817</v>
      </c>
      <c r="G60" t="s">
        <v>1818</v>
      </c>
      <c r="H60" t="s">
        <v>537</v>
      </c>
      <c r="I60" s="2" t="s">
        <v>1597</v>
      </c>
      <c r="J60" t="s">
        <v>226</v>
      </c>
    </row>
    <row r="61" spans="1:10" ht="230.4">
      <c r="A61" t="s">
        <v>1819</v>
      </c>
      <c r="B61" t="s">
        <v>1801</v>
      </c>
      <c r="C61" t="s">
        <v>211</v>
      </c>
      <c r="D61" t="s">
        <v>1541</v>
      </c>
      <c r="E61" s="2" t="s">
        <v>1820</v>
      </c>
      <c r="F61" s="2" t="s">
        <v>1821</v>
      </c>
      <c r="G61" t="s">
        <v>1822</v>
      </c>
      <c r="H61" t="s">
        <v>537</v>
      </c>
      <c r="I61" s="2" t="s">
        <v>1597</v>
      </c>
      <c r="J61" t="s">
        <v>226</v>
      </c>
    </row>
    <row r="62" spans="1:10" ht="158.4">
      <c r="A62" t="s">
        <v>1823</v>
      </c>
      <c r="B62" t="s">
        <v>1801</v>
      </c>
      <c r="C62" t="s">
        <v>288</v>
      </c>
      <c r="D62" t="s">
        <v>1541</v>
      </c>
      <c r="E62" s="2" t="s">
        <v>1824</v>
      </c>
      <c r="F62" s="2" t="s">
        <v>1825</v>
      </c>
      <c r="G62" t="s">
        <v>1826</v>
      </c>
      <c r="H62" t="s">
        <v>537</v>
      </c>
      <c r="I62" s="2" t="s">
        <v>1597</v>
      </c>
      <c r="J62" t="s">
        <v>226</v>
      </c>
    </row>
    <row r="63" spans="1:10" ht="158.4">
      <c r="A63" t="s">
        <v>1827</v>
      </c>
      <c r="B63" t="s">
        <v>1801</v>
      </c>
      <c r="C63" t="s">
        <v>307</v>
      </c>
      <c r="D63" t="s">
        <v>1619</v>
      </c>
      <c r="E63" s="2" t="s">
        <v>1828</v>
      </c>
      <c r="F63" s="2" t="s">
        <v>1829</v>
      </c>
      <c r="G63" t="s">
        <v>1830</v>
      </c>
      <c r="H63" t="s">
        <v>462</v>
      </c>
      <c r="I63" s="2" t="s">
        <v>1623</v>
      </c>
      <c r="J63" t="s">
        <v>226</v>
      </c>
    </row>
    <row r="64" spans="1:10" ht="187.2">
      <c r="A64" t="s">
        <v>1831</v>
      </c>
      <c r="B64" t="s">
        <v>1801</v>
      </c>
      <c r="C64" t="s">
        <v>393</v>
      </c>
      <c r="D64" t="s">
        <v>1541</v>
      </c>
      <c r="E64" s="2" t="s">
        <v>1832</v>
      </c>
      <c r="F64" s="2" t="s">
        <v>1833</v>
      </c>
      <c r="G64" t="s">
        <v>1834</v>
      </c>
      <c r="H64" t="s">
        <v>537</v>
      </c>
      <c r="I64" s="2" t="s">
        <v>1597</v>
      </c>
      <c r="J64" t="s">
        <v>226</v>
      </c>
    </row>
    <row r="65" spans="1:10" ht="288">
      <c r="A65" t="s">
        <v>1835</v>
      </c>
      <c r="B65" t="s">
        <v>1801</v>
      </c>
      <c r="C65" t="s">
        <v>381</v>
      </c>
      <c r="D65" t="s">
        <v>1802</v>
      </c>
      <c r="E65" s="2" t="s">
        <v>1836</v>
      </c>
      <c r="F65" s="2" t="s">
        <v>1837</v>
      </c>
      <c r="G65" t="s">
        <v>1838</v>
      </c>
      <c r="H65" t="s">
        <v>579</v>
      </c>
      <c r="I65" s="2" t="s">
        <v>1806</v>
      </c>
      <c r="J65" t="s">
        <v>226</v>
      </c>
    </row>
    <row r="66" spans="1:10" ht="302.39999999999998">
      <c r="A66" t="s">
        <v>1839</v>
      </c>
      <c r="B66" t="s">
        <v>1801</v>
      </c>
      <c r="C66" t="s">
        <v>228</v>
      </c>
      <c r="D66" t="s">
        <v>1619</v>
      </c>
      <c r="E66" s="2" t="s">
        <v>1840</v>
      </c>
      <c r="F66" s="2" t="s">
        <v>1841</v>
      </c>
      <c r="G66" t="s">
        <v>1842</v>
      </c>
      <c r="H66" t="s">
        <v>462</v>
      </c>
      <c r="I66" s="2" t="s">
        <v>1623</v>
      </c>
      <c r="J66" t="s">
        <v>226</v>
      </c>
    </row>
    <row r="67" spans="1:10" ht="288">
      <c r="A67" t="s">
        <v>1843</v>
      </c>
      <c r="B67" t="s">
        <v>1801</v>
      </c>
      <c r="C67" t="s">
        <v>281</v>
      </c>
      <c r="D67" t="s">
        <v>1541</v>
      </c>
      <c r="E67" s="2" t="s">
        <v>1844</v>
      </c>
      <c r="F67" s="2" t="s">
        <v>1845</v>
      </c>
      <c r="G67" t="s">
        <v>1846</v>
      </c>
      <c r="H67" t="s">
        <v>537</v>
      </c>
      <c r="I67" s="2" t="s">
        <v>1597</v>
      </c>
      <c r="J67" t="s">
        <v>226</v>
      </c>
    </row>
  </sheetData>
  <mergeCells count="2">
    <mergeCell ref="A1:M1"/>
    <mergeCell ref="A2:M2"/>
  </mergeCells>
  <dataValidations count="3">
    <dataValidation type="list" allowBlank="1" showInputMessage="1" showErrorMessage="1" errorTitle="Use a controlled value" error="Select a value from the drop-down list." sqref="D6:D1061" xr:uid="{0D51C901-69E0-472E-B104-35AD4502A1E3}">
      <formula1>CV_InitiativeMappingRelationship</formula1>
    </dataValidation>
    <dataValidation type="list" allowBlank="1" showInputMessage="1" showErrorMessage="1" errorTitle="Use a controlled value" error="Select a value from the drop-down list." sqref="H6:H1061" xr:uid="{178FDC3C-4469-40D3-8681-70211A27EC46}">
      <formula1>CV_AIConfidence</formula1>
    </dataValidation>
    <dataValidation type="list" allowBlank="1" showInputMessage="1" showErrorMessage="1" errorTitle="Use a controlled value" error="Select a value from the drop-down list." sqref="J6:J1061" xr:uid="{B2065A6A-8C7C-4D72-8221-E51A35A738EC}">
      <formula1>CV_ReviewStatus</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6F661-B15B-4864-A2F2-C1CFBF8AEDD0}">
  <dimension ref="A1:K5"/>
  <sheetViews>
    <sheetView workbookViewId="0">
      <selection activeCell="B9" sqref="B9"/>
    </sheetView>
  </sheetViews>
  <sheetFormatPr defaultRowHeight="14.4"/>
  <cols>
    <col min="1" max="1" width="20" customWidth="1"/>
    <col min="2" max="2" width="63.88671875" customWidth="1"/>
    <col min="3" max="3" width="95.33203125" customWidth="1"/>
    <col min="4" max="4" width="101.33203125" customWidth="1"/>
    <col min="5" max="5" width="58.6640625" customWidth="1"/>
    <col min="6" max="8" width="18.109375" customWidth="1"/>
    <col min="9" max="9" width="20" customWidth="1"/>
    <col min="10" max="10" width="34.33203125" customWidth="1"/>
    <col min="11" max="11" width="20" customWidth="1"/>
  </cols>
  <sheetData>
    <row r="1" spans="1:11" ht="30" customHeight="1">
      <c r="A1" s="46" t="s">
        <v>63</v>
      </c>
      <c r="B1" s="46"/>
      <c r="C1" s="46"/>
      <c r="D1" s="46"/>
      <c r="E1" s="46"/>
      <c r="F1" s="46"/>
      <c r="G1" s="46"/>
      <c r="H1" s="46"/>
      <c r="I1" s="46"/>
      <c r="J1" s="46"/>
      <c r="K1" s="46"/>
    </row>
    <row r="2" spans="1:11" ht="30" customHeight="1">
      <c r="A2" s="48" t="s">
        <v>64</v>
      </c>
      <c r="B2" s="48"/>
      <c r="C2" s="48"/>
      <c r="D2" s="48"/>
      <c r="E2" s="48"/>
      <c r="F2" s="48"/>
      <c r="G2" s="48"/>
      <c r="H2" s="48"/>
      <c r="I2" s="48"/>
      <c r="J2" s="48"/>
      <c r="K2" s="48"/>
    </row>
    <row r="5" spans="1:11" ht="45" customHeight="1">
      <c r="A5" s="2" t="s">
        <v>1847</v>
      </c>
      <c r="B5" s="2" t="s">
        <v>1848</v>
      </c>
      <c r="C5" s="2" t="s">
        <v>1849</v>
      </c>
      <c r="D5" s="2" t="s">
        <v>1850</v>
      </c>
      <c r="E5" s="2" t="s">
        <v>1851</v>
      </c>
      <c r="F5" s="2" t="s">
        <v>1852</v>
      </c>
      <c r="G5" s="2" t="s">
        <v>24</v>
      </c>
      <c r="H5" s="2" t="s">
        <v>26</v>
      </c>
      <c r="I5" s="2" t="s">
        <v>208</v>
      </c>
      <c r="J5" s="2" t="s">
        <v>209</v>
      </c>
      <c r="K5" s="2" t="s">
        <v>15</v>
      </c>
    </row>
  </sheetData>
  <mergeCells count="2">
    <mergeCell ref="A1:K1"/>
    <mergeCell ref="A2:K2"/>
  </mergeCells>
  <dataValidations count="2">
    <dataValidation type="list" allowBlank="1" showInputMessage="1" showErrorMessage="1" errorTitle="Use a controlled value" error="Select a value from the drop-down list." sqref="G6:G992" xr:uid="{CB5D4A21-7B49-4151-92C6-B9E9ACC388E4}">
      <formula1>CV_ClusterStatus</formula1>
    </dataValidation>
    <dataValidation type="list" allowBlank="1" showInputMessage="1" showErrorMessage="1" errorTitle="Use a controlled value" error="Select a value from the drop-down list." sqref="H6:H992" xr:uid="{16F50416-C267-4FF8-AAC6-F1BB150FAC18}">
      <formula1>CV_ReviewStatus</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88A50-9935-4AB8-BEDC-ED0E59634745}">
  <dimension ref="A1:L6"/>
  <sheetViews>
    <sheetView workbookViewId="0"/>
  </sheetViews>
  <sheetFormatPr defaultRowHeight="14.4"/>
  <cols>
    <col min="1" max="1" width="21.88671875" bestFit="1" customWidth="1"/>
    <col min="2" max="2" width="21.44140625" bestFit="1" customWidth="1"/>
    <col min="3" max="3" width="19.33203125" bestFit="1" customWidth="1"/>
    <col min="4" max="4" width="11.33203125" bestFit="1" customWidth="1"/>
    <col min="5" max="5" width="17.88671875" bestFit="1" customWidth="1"/>
    <col min="6" max="6" width="38.109375" customWidth="1"/>
    <col min="7" max="7" width="15" bestFit="1" customWidth="1"/>
    <col min="8" max="8" width="38.109375" customWidth="1"/>
    <col min="9" max="9" width="15" bestFit="1" customWidth="1"/>
    <col min="10" max="10" width="11.33203125" bestFit="1" customWidth="1"/>
    <col min="11" max="11" width="38.109375" customWidth="1"/>
    <col min="12" max="12" width="12.88671875" bestFit="1" customWidth="1"/>
  </cols>
  <sheetData>
    <row r="1" spans="1:12" ht="30" customHeight="1">
      <c r="A1" s="46" t="s">
        <v>65</v>
      </c>
      <c r="B1" s="46"/>
      <c r="C1" s="46"/>
      <c r="D1" s="46"/>
      <c r="E1" s="46"/>
      <c r="F1" s="46"/>
      <c r="G1" s="46"/>
      <c r="H1" s="46"/>
      <c r="I1" s="46"/>
      <c r="J1" s="46"/>
      <c r="K1" s="46"/>
      <c r="L1" s="46"/>
    </row>
    <row r="2" spans="1:12">
      <c r="A2" s="48" t="s">
        <v>1853</v>
      </c>
      <c r="B2" s="48"/>
      <c r="C2" s="48"/>
      <c r="D2" s="48"/>
      <c r="E2" s="48"/>
      <c r="F2" s="48"/>
      <c r="G2" s="48"/>
      <c r="H2" s="48"/>
      <c r="I2" s="48"/>
      <c r="J2" s="48"/>
      <c r="K2" s="48"/>
      <c r="L2" s="48"/>
    </row>
    <row r="5" spans="1:12" ht="45" customHeight="1">
      <c r="A5" s="2" t="s">
        <v>1854</v>
      </c>
      <c r="B5" s="2" t="s">
        <v>1855</v>
      </c>
      <c r="C5" s="2" t="s">
        <v>1856</v>
      </c>
      <c r="D5" s="2" t="s">
        <v>1847</v>
      </c>
      <c r="E5" s="2" t="s">
        <v>1857</v>
      </c>
      <c r="F5" s="2" t="s">
        <v>1858</v>
      </c>
      <c r="G5" s="2" t="s">
        <v>206</v>
      </c>
      <c r="H5" s="2" t="s">
        <v>207</v>
      </c>
      <c r="I5" s="2" t="s">
        <v>26</v>
      </c>
      <c r="J5" s="2" t="s">
        <v>208</v>
      </c>
      <c r="K5" s="2" t="s">
        <v>209</v>
      </c>
      <c r="L5" s="2" t="s">
        <v>15</v>
      </c>
    </row>
    <row r="6" spans="1:12">
      <c r="F6" s="2"/>
      <c r="H6" s="2"/>
      <c r="K6" s="2"/>
    </row>
  </sheetData>
  <mergeCells count="2">
    <mergeCell ref="A1:L1"/>
    <mergeCell ref="A2:L2"/>
  </mergeCells>
  <dataValidations count="4">
    <dataValidation type="list" allowBlank="1" showInputMessage="1" showErrorMessage="1" sqref="G6" xr:uid="{D3EB1142-C8CA-4DC8-A63A-48164FF2C86C}">
      <formula1>CV_AIConfidence</formula1>
    </dataValidation>
    <dataValidation type="list" allowBlank="1" showInputMessage="1" showErrorMessage="1" sqref="I6" xr:uid="{7DCC4864-451A-4320-BFA6-7B3441BA32CC}">
      <formula1>CV_ReviewStatus</formula1>
    </dataValidation>
    <dataValidation type="list" allowBlank="1" showInputMessage="1" showErrorMessage="1" sqref="B6" xr:uid="{3CB0267E-FC97-4B87-87EF-3B50E6CDF00A}">
      <formula1>CV_EvidenceRecordType</formula1>
    </dataValidation>
    <dataValidation type="list" allowBlank="1" showInputMessage="1" showErrorMessage="1" sqref="E6" xr:uid="{62E9FD1C-08EB-4147-816F-5FE93F5F49E1}">
      <formula1>CV_ClusterAssignmentType</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A916-4806-4326-8FBF-87379BE7B07F}">
  <dimension ref="A1:K5"/>
  <sheetViews>
    <sheetView workbookViewId="0"/>
  </sheetViews>
  <sheetFormatPr defaultRowHeight="14.4"/>
  <cols>
    <col min="1" max="1" width="20" customWidth="1"/>
    <col min="2" max="2" width="18.109375" customWidth="1"/>
    <col min="3" max="3" width="20" customWidth="1"/>
    <col min="4" max="4" width="18.109375" customWidth="1"/>
    <col min="5" max="5" width="34.33203125" customWidth="1"/>
    <col min="6" max="6" width="18.109375" customWidth="1"/>
    <col min="7" max="8" width="34.33203125" customWidth="1"/>
    <col min="9" max="9" width="18.109375" customWidth="1"/>
    <col min="10" max="10" width="34.33203125" customWidth="1"/>
    <col min="11" max="11" width="20" customWidth="1"/>
  </cols>
  <sheetData>
    <row r="1" spans="1:11" ht="30" customHeight="1">
      <c r="A1" s="46" t="s">
        <v>67</v>
      </c>
      <c r="B1" s="46"/>
      <c r="C1" s="46"/>
      <c r="D1" s="46"/>
      <c r="E1" s="46"/>
      <c r="F1" s="46"/>
      <c r="G1" s="46"/>
      <c r="H1" s="46"/>
      <c r="I1" s="46"/>
      <c r="J1" s="46"/>
      <c r="K1" s="46"/>
    </row>
    <row r="2" spans="1:11" ht="30" customHeight="1">
      <c r="A2" s="48" t="s">
        <v>68</v>
      </c>
      <c r="B2" s="48"/>
      <c r="C2" s="48"/>
      <c r="D2" s="48"/>
      <c r="E2" s="48"/>
      <c r="F2" s="48"/>
      <c r="G2" s="48"/>
      <c r="H2" s="48"/>
      <c r="I2" s="48"/>
      <c r="J2" s="48"/>
      <c r="K2" s="48"/>
    </row>
    <row r="5" spans="1:11" ht="45" customHeight="1">
      <c r="A5" s="2" t="s">
        <v>1859</v>
      </c>
      <c r="B5" s="2" t="s">
        <v>1860</v>
      </c>
      <c r="C5" s="2" t="s">
        <v>1861</v>
      </c>
      <c r="D5" s="2" t="s">
        <v>1862</v>
      </c>
      <c r="E5" s="2" t="s">
        <v>1863</v>
      </c>
      <c r="F5" s="2" t="s">
        <v>1864</v>
      </c>
      <c r="G5" s="2" t="s">
        <v>1865</v>
      </c>
      <c r="H5" s="2" t="s">
        <v>1866</v>
      </c>
      <c r="I5" s="2" t="s">
        <v>1867</v>
      </c>
      <c r="J5" s="2" t="s">
        <v>209</v>
      </c>
      <c r="K5" s="2" t="s">
        <v>15</v>
      </c>
    </row>
  </sheetData>
  <mergeCells count="2">
    <mergeCell ref="A1:K1"/>
    <mergeCell ref="A2:K2"/>
  </mergeCells>
  <dataValidations count="3">
    <dataValidation type="list" allowBlank="1" showInputMessage="1" showErrorMessage="1" errorTitle="Use a controlled value" error="Select a value from the drop-down list." sqref="B6:B1000" xr:uid="{9ECA2C29-D8F5-4963-9714-B2DEAB989485}">
      <formula1>CV_EntityType</formula1>
    </dataValidation>
    <dataValidation type="list" allowBlank="1" showInputMessage="1" showErrorMessage="1" errorTitle="Use a controlled value" error="Select a value from the drop-down list." sqref="F6:F1000" xr:uid="{AE781F64-6FC5-4E00-911C-5B42CA67533D}">
      <formula1>CV_ExceptionSeverity</formula1>
    </dataValidation>
    <dataValidation type="list" allowBlank="1" showInputMessage="1" showErrorMessage="1" errorTitle="Use a controlled value" error="Select a value from the drop-down list." sqref="H6:H1000" xr:uid="{CFB5FC79-61EB-4EE0-83C1-E68C922D1884}">
      <formula1>CV_ResolutionStatus</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ED45E-3D18-4314-B6CF-3F0451291549}">
  <dimension ref="A1:H1007"/>
  <sheetViews>
    <sheetView topLeftCell="A2" workbookViewId="0">
      <selection activeCell="D11" sqref="D11"/>
    </sheetView>
  </sheetViews>
  <sheetFormatPr defaultRowHeight="14.4"/>
  <cols>
    <col min="1" max="1" width="20" customWidth="1"/>
    <col min="2" max="2" width="18.109375" customWidth="1"/>
    <col min="3" max="3" width="20" customWidth="1"/>
    <col min="4" max="4" width="18.109375" customWidth="1"/>
    <col min="5" max="5" width="20" customWidth="1"/>
    <col min="6" max="6" width="18.109375" customWidth="1"/>
    <col min="7" max="8" width="34.33203125" customWidth="1"/>
  </cols>
  <sheetData>
    <row r="1" spans="1:8" ht="30" customHeight="1">
      <c r="A1" s="46" t="s">
        <v>69</v>
      </c>
      <c r="B1" s="46"/>
      <c r="C1" s="46"/>
      <c r="D1" s="46"/>
      <c r="E1" s="46"/>
      <c r="F1" s="46"/>
      <c r="G1" s="46"/>
      <c r="H1" s="46"/>
    </row>
    <row r="2" spans="1:8" ht="30" customHeight="1">
      <c r="A2" s="48" t="s">
        <v>70</v>
      </c>
      <c r="B2" s="48"/>
      <c r="C2" s="48"/>
      <c r="D2" s="48"/>
      <c r="E2" s="48"/>
      <c r="F2" s="48"/>
      <c r="G2" s="48"/>
      <c r="H2" s="48"/>
    </row>
    <row r="5" spans="1:8" ht="45" customHeight="1">
      <c r="A5" s="2" t="s">
        <v>15</v>
      </c>
      <c r="B5" s="2" t="s">
        <v>1860</v>
      </c>
      <c r="C5" s="2" t="s">
        <v>1861</v>
      </c>
      <c r="D5" s="2" t="s">
        <v>1868</v>
      </c>
      <c r="E5" s="2" t="s">
        <v>208</v>
      </c>
      <c r="F5" s="2" t="s">
        <v>1869</v>
      </c>
      <c r="G5" s="2" t="s">
        <v>1870</v>
      </c>
      <c r="H5" s="2" t="s">
        <v>1871</v>
      </c>
    </row>
    <row r="6" spans="1:8" ht="72">
      <c r="A6" t="s">
        <v>1104</v>
      </c>
      <c r="B6" t="s">
        <v>1872</v>
      </c>
      <c r="C6" t="s">
        <v>1092</v>
      </c>
      <c r="D6" t="s">
        <v>1101</v>
      </c>
      <c r="E6" t="s">
        <v>1102</v>
      </c>
      <c r="F6" s="6">
        <v>46257</v>
      </c>
      <c r="G6" s="2" t="s">
        <v>1873</v>
      </c>
      <c r="H6" s="2" t="s">
        <v>1874</v>
      </c>
    </row>
    <row r="7" spans="1:8" ht="72">
      <c r="A7" t="s">
        <v>1113</v>
      </c>
      <c r="B7" t="s">
        <v>1872</v>
      </c>
      <c r="C7" t="s">
        <v>1105</v>
      </c>
      <c r="D7" t="s">
        <v>1101</v>
      </c>
      <c r="E7" t="s">
        <v>1102</v>
      </c>
      <c r="F7" s="6">
        <v>46257</v>
      </c>
      <c r="G7" s="2" t="s">
        <v>1875</v>
      </c>
      <c r="H7" s="2" t="s">
        <v>1874</v>
      </c>
    </row>
    <row r="8" spans="1:8" ht="72">
      <c r="A8" t="s">
        <v>1876</v>
      </c>
      <c r="B8" t="s">
        <v>1872</v>
      </c>
      <c r="C8" t="s">
        <v>1123</v>
      </c>
      <c r="D8" t="s">
        <v>1101</v>
      </c>
      <c r="E8" t="s">
        <v>1102</v>
      </c>
      <c r="F8" s="6">
        <v>46257</v>
      </c>
      <c r="G8" s="2" t="s">
        <v>1877</v>
      </c>
      <c r="H8" s="2" t="s">
        <v>1874</v>
      </c>
    </row>
    <row r="9" spans="1:8" ht="72">
      <c r="A9" t="s">
        <v>1139</v>
      </c>
      <c r="B9" t="s">
        <v>1872</v>
      </c>
      <c r="C9" t="s">
        <v>1133</v>
      </c>
      <c r="D9" t="s">
        <v>1101</v>
      </c>
      <c r="E9" t="s">
        <v>1102</v>
      </c>
      <c r="F9" s="6">
        <v>46257</v>
      </c>
      <c r="G9" s="2" t="s">
        <v>1878</v>
      </c>
      <c r="H9" s="2" t="s">
        <v>1874</v>
      </c>
    </row>
    <row r="10" spans="1:8" ht="72">
      <c r="A10" t="s">
        <v>1147</v>
      </c>
      <c r="B10" t="s">
        <v>1872</v>
      </c>
      <c r="C10" t="s">
        <v>1140</v>
      </c>
      <c r="D10" t="s">
        <v>1101</v>
      </c>
      <c r="E10" t="s">
        <v>1102</v>
      </c>
      <c r="F10" s="6">
        <v>46257</v>
      </c>
      <c r="G10" s="2" t="s">
        <v>1879</v>
      </c>
      <c r="H10" s="2" t="s">
        <v>1874</v>
      </c>
    </row>
    <row r="11" spans="1:8" ht="72">
      <c r="A11" t="s">
        <v>1154</v>
      </c>
      <c r="B11" t="s">
        <v>1872</v>
      </c>
      <c r="C11" t="s">
        <v>1148</v>
      </c>
      <c r="D11" t="s">
        <v>1101</v>
      </c>
      <c r="E11" t="s">
        <v>1102</v>
      </c>
      <c r="F11" s="6">
        <v>46257</v>
      </c>
      <c r="G11" s="2" t="s">
        <v>1880</v>
      </c>
      <c r="H11" s="2" t="s">
        <v>1874</v>
      </c>
    </row>
    <row r="12" spans="1:8" ht="72">
      <c r="A12" t="s">
        <v>1881</v>
      </c>
      <c r="B12" t="s">
        <v>1872</v>
      </c>
      <c r="C12" t="s">
        <v>1155</v>
      </c>
      <c r="D12" t="s">
        <v>1101</v>
      </c>
      <c r="E12" t="s">
        <v>1102</v>
      </c>
      <c r="F12" s="6">
        <v>46257</v>
      </c>
      <c r="G12" s="2" t="s">
        <v>1882</v>
      </c>
      <c r="H12" s="2" t="s">
        <v>1874</v>
      </c>
    </row>
    <row r="13" spans="1:8" ht="72">
      <c r="A13" t="s">
        <v>1161</v>
      </c>
      <c r="B13" t="s">
        <v>1872</v>
      </c>
      <c r="C13" t="s">
        <v>1801</v>
      </c>
      <c r="D13" t="s">
        <v>1101</v>
      </c>
      <c r="E13" t="s">
        <v>1102</v>
      </c>
      <c r="F13" s="6">
        <v>46257</v>
      </c>
      <c r="G13" s="2" t="s">
        <v>1883</v>
      </c>
      <c r="H13" s="2" t="s">
        <v>1874</v>
      </c>
    </row>
    <row r="14" spans="1:8">
      <c r="F14" s="6"/>
    </row>
    <row r="15" spans="1:8">
      <c r="F15" s="6"/>
    </row>
    <row r="16" spans="1:8">
      <c r="F16" s="6"/>
    </row>
    <row r="17" spans="6:6">
      <c r="F17" s="6"/>
    </row>
    <row r="18" spans="6:6">
      <c r="F18" s="6"/>
    </row>
    <row r="19" spans="6:6">
      <c r="F19" s="6"/>
    </row>
    <row r="20" spans="6:6">
      <c r="F20" s="6"/>
    </row>
    <row r="21" spans="6:6">
      <c r="F21" s="6"/>
    </row>
    <row r="22" spans="6:6">
      <c r="F22" s="6"/>
    </row>
    <row r="23" spans="6:6">
      <c r="F23" s="6"/>
    </row>
    <row r="24" spans="6:6">
      <c r="F24" s="6"/>
    </row>
    <row r="25" spans="6:6">
      <c r="F25" s="6"/>
    </row>
    <row r="26" spans="6:6">
      <c r="F26" s="6"/>
    </row>
    <row r="27" spans="6:6">
      <c r="F27" s="6"/>
    </row>
    <row r="28" spans="6:6">
      <c r="F28" s="6"/>
    </row>
    <row r="29" spans="6:6">
      <c r="F29" s="6"/>
    </row>
    <row r="30" spans="6:6">
      <c r="F30" s="6"/>
    </row>
    <row r="31" spans="6:6">
      <c r="F31" s="6"/>
    </row>
    <row r="32" spans="6:6">
      <c r="F32" s="6"/>
    </row>
    <row r="33" spans="6:6">
      <c r="F33" s="6"/>
    </row>
    <row r="34" spans="6:6">
      <c r="F34" s="6"/>
    </row>
    <row r="35" spans="6:6">
      <c r="F35" s="6"/>
    </row>
    <row r="36" spans="6:6">
      <c r="F36" s="6"/>
    </row>
    <row r="37" spans="6:6">
      <c r="F37" s="6"/>
    </row>
    <row r="38" spans="6:6">
      <c r="F38" s="6"/>
    </row>
    <row r="39" spans="6:6">
      <c r="F39" s="6"/>
    </row>
    <row r="40" spans="6:6">
      <c r="F40" s="6"/>
    </row>
    <row r="41" spans="6:6">
      <c r="F41" s="6"/>
    </row>
    <row r="42" spans="6:6">
      <c r="F42" s="6"/>
    </row>
    <row r="43" spans="6:6">
      <c r="F43" s="6"/>
    </row>
    <row r="44" spans="6:6">
      <c r="F44" s="6"/>
    </row>
    <row r="45" spans="6:6">
      <c r="F45" s="6"/>
    </row>
    <row r="46" spans="6:6">
      <c r="F46" s="6"/>
    </row>
    <row r="47" spans="6:6">
      <c r="F47" s="6"/>
    </row>
    <row r="48" spans="6:6">
      <c r="F48" s="6"/>
    </row>
    <row r="49" spans="6:6">
      <c r="F49" s="6"/>
    </row>
    <row r="50" spans="6:6">
      <c r="F50" s="6"/>
    </row>
    <row r="51" spans="6:6">
      <c r="F51" s="6"/>
    </row>
    <row r="52" spans="6:6">
      <c r="F52" s="6"/>
    </row>
    <row r="53" spans="6:6">
      <c r="F53" s="6"/>
    </row>
    <row r="54" spans="6:6">
      <c r="F54" s="6"/>
    </row>
    <row r="55" spans="6:6">
      <c r="F55" s="6"/>
    </row>
    <row r="56" spans="6:6">
      <c r="F56" s="6"/>
    </row>
    <row r="57" spans="6:6">
      <c r="F57" s="6"/>
    </row>
    <row r="58" spans="6:6">
      <c r="F58" s="6"/>
    </row>
    <row r="59" spans="6:6">
      <c r="F59" s="6"/>
    </row>
    <row r="60" spans="6:6">
      <c r="F60" s="6"/>
    </row>
    <row r="61" spans="6:6">
      <c r="F61" s="6"/>
    </row>
    <row r="62" spans="6:6">
      <c r="F62" s="6"/>
    </row>
    <row r="63" spans="6:6">
      <c r="F63" s="6"/>
    </row>
    <row r="64" spans="6:6">
      <c r="F64" s="6"/>
    </row>
    <row r="65" spans="6:6">
      <c r="F65" s="6"/>
    </row>
    <row r="66" spans="6:6">
      <c r="F66" s="6"/>
    </row>
    <row r="67" spans="6:6">
      <c r="F67" s="6"/>
    </row>
    <row r="68" spans="6:6">
      <c r="F68" s="6"/>
    </row>
    <row r="69" spans="6:6">
      <c r="F69" s="6"/>
    </row>
    <row r="70" spans="6:6">
      <c r="F70" s="6"/>
    </row>
    <row r="71" spans="6:6">
      <c r="F71" s="6"/>
    </row>
    <row r="72" spans="6:6">
      <c r="F72" s="6"/>
    </row>
    <row r="73" spans="6:6">
      <c r="F73" s="6"/>
    </row>
    <row r="74" spans="6:6">
      <c r="F74" s="6"/>
    </row>
    <row r="75" spans="6:6">
      <c r="F75" s="6"/>
    </row>
    <row r="76" spans="6:6">
      <c r="F76" s="6"/>
    </row>
    <row r="77" spans="6:6">
      <c r="F77" s="6"/>
    </row>
    <row r="78" spans="6:6">
      <c r="F78" s="6"/>
    </row>
    <row r="79" spans="6:6">
      <c r="F79" s="6"/>
    </row>
    <row r="80" spans="6:6">
      <c r="F80" s="6"/>
    </row>
    <row r="81" spans="6:6">
      <c r="F81" s="6"/>
    </row>
    <row r="82" spans="6:6">
      <c r="F82" s="6"/>
    </row>
    <row r="83" spans="6:6">
      <c r="F83" s="6"/>
    </row>
    <row r="84" spans="6:6">
      <c r="F84" s="6"/>
    </row>
    <row r="85" spans="6:6">
      <c r="F85" s="6"/>
    </row>
    <row r="86" spans="6:6">
      <c r="F86" s="6"/>
    </row>
    <row r="87" spans="6:6">
      <c r="F87" s="6"/>
    </row>
    <row r="88" spans="6:6">
      <c r="F88" s="6"/>
    </row>
    <row r="89" spans="6:6">
      <c r="F89" s="6"/>
    </row>
    <row r="90" spans="6:6">
      <c r="F90" s="6"/>
    </row>
    <row r="91" spans="6:6">
      <c r="F91" s="6"/>
    </row>
    <row r="92" spans="6:6">
      <c r="F92" s="6"/>
    </row>
    <row r="93" spans="6:6">
      <c r="F93" s="6"/>
    </row>
    <row r="94" spans="6:6">
      <c r="F94" s="6"/>
    </row>
    <row r="95" spans="6:6">
      <c r="F95" s="6"/>
    </row>
    <row r="96" spans="6:6">
      <c r="F96" s="6"/>
    </row>
    <row r="97" spans="6:6">
      <c r="F97" s="6"/>
    </row>
    <row r="98" spans="6:6">
      <c r="F98" s="6"/>
    </row>
    <row r="99" spans="6:6">
      <c r="F99" s="6"/>
    </row>
    <row r="100" spans="6:6">
      <c r="F100" s="6"/>
    </row>
    <row r="101" spans="6:6">
      <c r="F101" s="6"/>
    </row>
    <row r="102" spans="6:6">
      <c r="F102" s="6"/>
    </row>
    <row r="103" spans="6:6">
      <c r="F103" s="6"/>
    </row>
    <row r="104" spans="6:6">
      <c r="F104" s="6"/>
    </row>
    <row r="105" spans="6:6">
      <c r="F105" s="6"/>
    </row>
    <row r="106" spans="6:6">
      <c r="F106" s="6"/>
    </row>
    <row r="107" spans="6:6">
      <c r="F107" s="6"/>
    </row>
    <row r="108" spans="6:6">
      <c r="F108" s="6"/>
    </row>
    <row r="109" spans="6:6">
      <c r="F109" s="6"/>
    </row>
    <row r="110" spans="6:6">
      <c r="F110" s="6"/>
    </row>
    <row r="111" spans="6:6">
      <c r="F111" s="6"/>
    </row>
    <row r="112" spans="6:6">
      <c r="F112" s="6"/>
    </row>
    <row r="113" spans="6:6">
      <c r="F113" s="6"/>
    </row>
    <row r="114" spans="6:6">
      <c r="F114" s="6"/>
    </row>
    <row r="115" spans="6:6">
      <c r="F115" s="6"/>
    </row>
    <row r="116" spans="6:6">
      <c r="F116" s="6"/>
    </row>
    <row r="117" spans="6:6">
      <c r="F117" s="6"/>
    </row>
    <row r="118" spans="6:6">
      <c r="F118" s="6"/>
    </row>
    <row r="119" spans="6:6">
      <c r="F119" s="6"/>
    </row>
    <row r="120" spans="6:6">
      <c r="F120" s="6"/>
    </row>
    <row r="121" spans="6:6">
      <c r="F121" s="6"/>
    </row>
    <row r="122" spans="6:6">
      <c r="F122" s="6"/>
    </row>
    <row r="123" spans="6:6">
      <c r="F123" s="6"/>
    </row>
    <row r="124" spans="6:6">
      <c r="F124" s="6"/>
    </row>
    <row r="125" spans="6:6">
      <c r="F125" s="6"/>
    </row>
    <row r="126" spans="6:6">
      <c r="F126" s="6"/>
    </row>
    <row r="127" spans="6:6">
      <c r="F127" s="6"/>
    </row>
    <row r="128" spans="6:6">
      <c r="F128" s="6"/>
    </row>
    <row r="129" spans="6:6">
      <c r="F129" s="6"/>
    </row>
    <row r="130" spans="6:6">
      <c r="F130" s="6"/>
    </row>
    <row r="131" spans="6:6">
      <c r="F131" s="6"/>
    </row>
    <row r="132" spans="6:6">
      <c r="F132" s="6"/>
    </row>
    <row r="133" spans="6:6">
      <c r="F133" s="6"/>
    </row>
    <row r="134" spans="6:6">
      <c r="F134" s="6"/>
    </row>
    <row r="135" spans="6:6">
      <c r="F135" s="6"/>
    </row>
    <row r="136" spans="6:6">
      <c r="F136" s="6"/>
    </row>
    <row r="137" spans="6:6">
      <c r="F137" s="6"/>
    </row>
    <row r="138" spans="6:6">
      <c r="F138" s="6"/>
    </row>
    <row r="139" spans="6:6">
      <c r="F139" s="6"/>
    </row>
    <row r="140" spans="6:6">
      <c r="F140" s="6"/>
    </row>
    <row r="141" spans="6:6">
      <c r="F141" s="6"/>
    </row>
    <row r="142" spans="6:6">
      <c r="F142" s="6"/>
    </row>
    <row r="143" spans="6:6">
      <c r="F143" s="6"/>
    </row>
    <row r="144" spans="6:6">
      <c r="F144" s="6"/>
    </row>
    <row r="145" spans="6:6">
      <c r="F145" s="6"/>
    </row>
    <row r="146" spans="6:6">
      <c r="F146" s="6"/>
    </row>
    <row r="147" spans="6:6">
      <c r="F147" s="6"/>
    </row>
    <row r="148" spans="6:6">
      <c r="F148" s="6"/>
    </row>
    <row r="149" spans="6:6">
      <c r="F149" s="6"/>
    </row>
    <row r="150" spans="6:6">
      <c r="F150" s="6"/>
    </row>
    <row r="151" spans="6:6">
      <c r="F151" s="6"/>
    </row>
    <row r="152" spans="6:6">
      <c r="F152" s="6"/>
    </row>
    <row r="153" spans="6:6">
      <c r="F153" s="6"/>
    </row>
    <row r="154" spans="6:6">
      <c r="F154" s="6"/>
    </row>
    <row r="155" spans="6:6">
      <c r="F155" s="6"/>
    </row>
    <row r="156" spans="6:6">
      <c r="F156" s="6"/>
    </row>
    <row r="157" spans="6:6">
      <c r="F157" s="6"/>
    </row>
    <row r="158" spans="6:6">
      <c r="F158" s="6"/>
    </row>
    <row r="159" spans="6:6">
      <c r="F159" s="6"/>
    </row>
    <row r="160" spans="6:6">
      <c r="F160" s="6"/>
    </row>
    <row r="161" spans="6:6">
      <c r="F161" s="6"/>
    </row>
    <row r="162" spans="6:6">
      <c r="F162" s="6"/>
    </row>
    <row r="163" spans="6:6">
      <c r="F163" s="6"/>
    </row>
    <row r="164" spans="6:6">
      <c r="F164" s="6"/>
    </row>
    <row r="165" spans="6:6">
      <c r="F165" s="6"/>
    </row>
    <row r="166" spans="6:6">
      <c r="F166" s="6"/>
    </row>
    <row r="167" spans="6:6">
      <c r="F167" s="6"/>
    </row>
    <row r="168" spans="6:6">
      <c r="F168" s="6"/>
    </row>
    <row r="169" spans="6:6">
      <c r="F169" s="6"/>
    </row>
    <row r="170" spans="6:6">
      <c r="F170" s="6"/>
    </row>
    <row r="171" spans="6:6">
      <c r="F171" s="6"/>
    </row>
    <row r="172" spans="6:6">
      <c r="F172" s="6"/>
    </row>
    <row r="173" spans="6:6">
      <c r="F173" s="6"/>
    </row>
    <row r="174" spans="6:6">
      <c r="F174" s="6"/>
    </row>
    <row r="175" spans="6:6">
      <c r="F175" s="6"/>
    </row>
    <row r="176" spans="6:6">
      <c r="F176" s="6"/>
    </row>
    <row r="177" spans="6:6">
      <c r="F177" s="6"/>
    </row>
    <row r="178" spans="6:6">
      <c r="F178" s="6"/>
    </row>
    <row r="179" spans="6:6">
      <c r="F179" s="6"/>
    </row>
    <row r="180" spans="6:6">
      <c r="F180" s="6"/>
    </row>
    <row r="181" spans="6:6">
      <c r="F181" s="6"/>
    </row>
    <row r="182" spans="6:6">
      <c r="F182" s="6"/>
    </row>
    <row r="183" spans="6:6">
      <c r="F183" s="6"/>
    </row>
    <row r="184" spans="6:6">
      <c r="F184" s="6"/>
    </row>
    <row r="185" spans="6:6">
      <c r="F185" s="6"/>
    </row>
    <row r="186" spans="6:6">
      <c r="F186" s="6"/>
    </row>
    <row r="187" spans="6:6">
      <c r="F187" s="6"/>
    </row>
    <row r="188" spans="6:6">
      <c r="F188" s="6"/>
    </row>
    <row r="189" spans="6:6">
      <c r="F189" s="6"/>
    </row>
    <row r="190" spans="6:6">
      <c r="F190" s="6"/>
    </row>
    <row r="191" spans="6:6">
      <c r="F191" s="6"/>
    </row>
    <row r="192" spans="6:6">
      <c r="F192" s="6"/>
    </row>
    <row r="193" spans="6:6">
      <c r="F193" s="6"/>
    </row>
    <row r="194" spans="6:6">
      <c r="F194" s="6"/>
    </row>
    <row r="195" spans="6:6">
      <c r="F195" s="6"/>
    </row>
    <row r="196" spans="6:6">
      <c r="F196" s="6"/>
    </row>
    <row r="197" spans="6:6">
      <c r="F197" s="6"/>
    </row>
    <row r="198" spans="6:6">
      <c r="F198" s="6"/>
    </row>
    <row r="199" spans="6:6">
      <c r="F199" s="6"/>
    </row>
    <row r="200" spans="6:6">
      <c r="F200" s="6"/>
    </row>
    <row r="201" spans="6:6">
      <c r="F201" s="6"/>
    </row>
    <row r="202" spans="6:6">
      <c r="F202" s="6"/>
    </row>
    <row r="203" spans="6:6">
      <c r="F203" s="6"/>
    </row>
    <row r="204" spans="6:6">
      <c r="F204" s="6"/>
    </row>
    <row r="205" spans="6:6">
      <c r="F205" s="6"/>
    </row>
    <row r="206" spans="6:6">
      <c r="F206" s="6"/>
    </row>
    <row r="207" spans="6:6">
      <c r="F207" s="6"/>
    </row>
    <row r="208" spans="6:6">
      <c r="F208" s="6"/>
    </row>
    <row r="209" spans="6:6">
      <c r="F209" s="6"/>
    </row>
    <row r="210" spans="6:6">
      <c r="F210" s="6"/>
    </row>
    <row r="211" spans="6:6">
      <c r="F211" s="6"/>
    </row>
    <row r="212" spans="6:6">
      <c r="F212" s="6"/>
    </row>
    <row r="213" spans="6:6">
      <c r="F213" s="6"/>
    </row>
    <row r="214" spans="6:6">
      <c r="F214" s="6"/>
    </row>
    <row r="215" spans="6:6">
      <c r="F215" s="6"/>
    </row>
    <row r="216" spans="6:6">
      <c r="F216" s="6"/>
    </row>
    <row r="217" spans="6:6">
      <c r="F217" s="6"/>
    </row>
    <row r="218" spans="6:6">
      <c r="F218" s="6"/>
    </row>
    <row r="219" spans="6:6">
      <c r="F219" s="6"/>
    </row>
    <row r="220" spans="6:6">
      <c r="F220" s="6"/>
    </row>
    <row r="221" spans="6:6">
      <c r="F221" s="6"/>
    </row>
    <row r="222" spans="6:6">
      <c r="F222" s="6"/>
    </row>
    <row r="223" spans="6:6">
      <c r="F223" s="6"/>
    </row>
    <row r="224" spans="6:6">
      <c r="F224" s="6"/>
    </row>
    <row r="225" spans="6:6">
      <c r="F225" s="6"/>
    </row>
    <row r="226" spans="6:6">
      <c r="F226" s="6"/>
    </row>
    <row r="227" spans="6:6">
      <c r="F227" s="6"/>
    </row>
    <row r="228" spans="6:6">
      <c r="F228" s="6"/>
    </row>
    <row r="229" spans="6:6">
      <c r="F229" s="6"/>
    </row>
    <row r="230" spans="6:6">
      <c r="F230" s="6"/>
    </row>
    <row r="231" spans="6:6">
      <c r="F231" s="6"/>
    </row>
    <row r="232" spans="6:6">
      <c r="F232" s="6"/>
    </row>
    <row r="233" spans="6:6">
      <c r="F233" s="6"/>
    </row>
    <row r="234" spans="6:6">
      <c r="F234" s="6"/>
    </row>
    <row r="235" spans="6:6">
      <c r="F235" s="6"/>
    </row>
    <row r="236" spans="6:6">
      <c r="F236" s="6"/>
    </row>
    <row r="237" spans="6:6">
      <c r="F237" s="6"/>
    </row>
    <row r="238" spans="6:6">
      <c r="F238" s="6"/>
    </row>
    <row r="239" spans="6:6">
      <c r="F239" s="6"/>
    </row>
    <row r="240" spans="6:6">
      <c r="F240" s="6"/>
    </row>
    <row r="241" spans="6:6">
      <c r="F241" s="6"/>
    </row>
    <row r="242" spans="6:6">
      <c r="F242" s="6"/>
    </row>
    <row r="243" spans="6:6">
      <c r="F243" s="6"/>
    </row>
    <row r="244" spans="6:6">
      <c r="F244" s="6"/>
    </row>
    <row r="245" spans="6:6">
      <c r="F245" s="6"/>
    </row>
    <row r="246" spans="6:6">
      <c r="F246" s="6"/>
    </row>
    <row r="247" spans="6:6">
      <c r="F247" s="6"/>
    </row>
    <row r="248" spans="6:6">
      <c r="F248" s="6"/>
    </row>
    <row r="249" spans="6:6">
      <c r="F249" s="6"/>
    </row>
    <row r="250" spans="6:6">
      <c r="F250" s="6"/>
    </row>
    <row r="251" spans="6:6">
      <c r="F251" s="6"/>
    </row>
    <row r="252" spans="6:6">
      <c r="F252" s="6"/>
    </row>
    <row r="253" spans="6:6">
      <c r="F253" s="6"/>
    </row>
    <row r="254" spans="6:6">
      <c r="F254" s="6"/>
    </row>
    <row r="255" spans="6:6">
      <c r="F255" s="6"/>
    </row>
    <row r="256" spans="6:6">
      <c r="F256" s="6"/>
    </row>
    <row r="257" spans="6:6">
      <c r="F257" s="6"/>
    </row>
    <row r="258" spans="6:6">
      <c r="F258" s="6"/>
    </row>
    <row r="259" spans="6:6">
      <c r="F259" s="6"/>
    </row>
    <row r="260" spans="6:6">
      <c r="F260" s="6"/>
    </row>
    <row r="261" spans="6:6">
      <c r="F261" s="6"/>
    </row>
    <row r="262" spans="6:6">
      <c r="F262" s="6"/>
    </row>
    <row r="263" spans="6:6">
      <c r="F263" s="6"/>
    </row>
    <row r="264" spans="6:6">
      <c r="F264" s="6"/>
    </row>
    <row r="265" spans="6:6">
      <c r="F265" s="6"/>
    </row>
    <row r="266" spans="6:6">
      <c r="F266" s="6"/>
    </row>
    <row r="267" spans="6:6">
      <c r="F267" s="6"/>
    </row>
    <row r="268" spans="6:6">
      <c r="F268" s="6"/>
    </row>
    <row r="269" spans="6:6">
      <c r="F269" s="6"/>
    </row>
    <row r="270" spans="6:6">
      <c r="F270" s="6"/>
    </row>
    <row r="271" spans="6:6">
      <c r="F271" s="6"/>
    </row>
    <row r="272" spans="6:6">
      <c r="F272" s="6"/>
    </row>
    <row r="273" spans="6:6">
      <c r="F273" s="6"/>
    </row>
    <row r="274" spans="6:6">
      <c r="F274" s="6"/>
    </row>
    <row r="275" spans="6:6">
      <c r="F275" s="6"/>
    </row>
    <row r="276" spans="6:6">
      <c r="F276" s="6"/>
    </row>
    <row r="277" spans="6:6">
      <c r="F277" s="6"/>
    </row>
    <row r="278" spans="6:6">
      <c r="F278" s="6"/>
    </row>
    <row r="279" spans="6:6">
      <c r="F279" s="6"/>
    </row>
    <row r="280" spans="6:6">
      <c r="F280" s="6"/>
    </row>
    <row r="281" spans="6:6">
      <c r="F281" s="6"/>
    </row>
    <row r="282" spans="6:6">
      <c r="F282" s="6"/>
    </row>
    <row r="283" spans="6:6">
      <c r="F283" s="6"/>
    </row>
    <row r="284" spans="6:6">
      <c r="F284" s="6"/>
    </row>
    <row r="285" spans="6:6">
      <c r="F285" s="6"/>
    </row>
    <row r="286" spans="6:6">
      <c r="F286" s="6"/>
    </row>
    <row r="287" spans="6:6">
      <c r="F287" s="6"/>
    </row>
    <row r="288" spans="6:6">
      <c r="F288" s="6"/>
    </row>
    <row r="289" spans="6:6">
      <c r="F289" s="6"/>
    </row>
    <row r="290" spans="6:6">
      <c r="F290" s="6"/>
    </row>
    <row r="291" spans="6:6">
      <c r="F291" s="6"/>
    </row>
    <row r="292" spans="6:6">
      <c r="F292" s="6"/>
    </row>
    <row r="293" spans="6:6">
      <c r="F293" s="6"/>
    </row>
    <row r="294" spans="6:6">
      <c r="F294" s="6"/>
    </row>
    <row r="295" spans="6:6">
      <c r="F295" s="6"/>
    </row>
    <row r="296" spans="6:6">
      <c r="F296" s="6"/>
    </row>
    <row r="297" spans="6:6">
      <c r="F297" s="6"/>
    </row>
    <row r="298" spans="6:6">
      <c r="F298" s="6"/>
    </row>
    <row r="299" spans="6:6">
      <c r="F299" s="6"/>
    </row>
    <row r="300" spans="6:6">
      <c r="F300" s="6"/>
    </row>
    <row r="301" spans="6:6">
      <c r="F301" s="6"/>
    </row>
    <row r="302" spans="6:6">
      <c r="F302" s="6"/>
    </row>
    <row r="303" spans="6:6">
      <c r="F303" s="6"/>
    </row>
    <row r="304" spans="6:6">
      <c r="F304" s="6"/>
    </row>
    <row r="305" spans="6:6">
      <c r="F305" s="6"/>
    </row>
    <row r="306" spans="6:6">
      <c r="F306" s="6"/>
    </row>
    <row r="307" spans="6:6">
      <c r="F307" s="6"/>
    </row>
    <row r="308" spans="6:6">
      <c r="F308" s="6"/>
    </row>
    <row r="309" spans="6:6">
      <c r="F309" s="6"/>
    </row>
    <row r="310" spans="6:6">
      <c r="F310" s="6"/>
    </row>
    <row r="311" spans="6:6">
      <c r="F311" s="6"/>
    </row>
    <row r="312" spans="6:6">
      <c r="F312" s="6"/>
    </row>
    <row r="313" spans="6:6">
      <c r="F313" s="6"/>
    </row>
    <row r="314" spans="6:6">
      <c r="F314" s="6"/>
    </row>
    <row r="315" spans="6:6">
      <c r="F315" s="6"/>
    </row>
    <row r="316" spans="6:6">
      <c r="F316" s="6"/>
    </row>
    <row r="317" spans="6:6">
      <c r="F317" s="6"/>
    </row>
    <row r="318" spans="6:6">
      <c r="F318" s="6"/>
    </row>
    <row r="319" spans="6:6">
      <c r="F319" s="6"/>
    </row>
    <row r="320" spans="6:6">
      <c r="F320" s="6"/>
    </row>
    <row r="321" spans="6:6">
      <c r="F321" s="6"/>
    </row>
    <row r="322" spans="6:6">
      <c r="F322" s="6"/>
    </row>
    <row r="323" spans="6:6">
      <c r="F323" s="6"/>
    </row>
    <row r="324" spans="6:6">
      <c r="F324" s="6"/>
    </row>
    <row r="325" spans="6:6">
      <c r="F325" s="6"/>
    </row>
    <row r="326" spans="6:6">
      <c r="F326" s="6"/>
    </row>
    <row r="327" spans="6:6">
      <c r="F327" s="6"/>
    </row>
    <row r="328" spans="6:6">
      <c r="F328" s="6"/>
    </row>
    <row r="329" spans="6:6">
      <c r="F329" s="6"/>
    </row>
    <row r="330" spans="6:6">
      <c r="F330" s="6"/>
    </row>
    <row r="331" spans="6:6">
      <c r="F331" s="6"/>
    </row>
    <row r="332" spans="6:6">
      <c r="F332" s="6"/>
    </row>
    <row r="333" spans="6:6">
      <c r="F333" s="6"/>
    </row>
    <row r="334" spans="6:6">
      <c r="F334" s="6"/>
    </row>
    <row r="335" spans="6:6">
      <c r="F335" s="6"/>
    </row>
    <row r="336" spans="6:6">
      <c r="F336" s="6"/>
    </row>
    <row r="337" spans="6:6">
      <c r="F337" s="6"/>
    </row>
    <row r="338" spans="6:6">
      <c r="F338" s="6"/>
    </row>
    <row r="339" spans="6:6">
      <c r="F339" s="6"/>
    </row>
    <row r="340" spans="6:6">
      <c r="F340" s="6"/>
    </row>
    <row r="341" spans="6:6">
      <c r="F341" s="6"/>
    </row>
    <row r="342" spans="6:6">
      <c r="F342" s="6"/>
    </row>
    <row r="343" spans="6:6">
      <c r="F343" s="6"/>
    </row>
    <row r="344" spans="6:6">
      <c r="F344" s="6"/>
    </row>
    <row r="345" spans="6:6">
      <c r="F345" s="6"/>
    </row>
    <row r="346" spans="6:6">
      <c r="F346" s="6"/>
    </row>
    <row r="347" spans="6:6">
      <c r="F347" s="6"/>
    </row>
    <row r="348" spans="6:6">
      <c r="F348" s="6"/>
    </row>
    <row r="349" spans="6:6">
      <c r="F349" s="6"/>
    </row>
    <row r="350" spans="6:6">
      <c r="F350" s="6"/>
    </row>
    <row r="351" spans="6:6">
      <c r="F351" s="6"/>
    </row>
    <row r="352" spans="6:6">
      <c r="F352" s="6"/>
    </row>
    <row r="353" spans="6:6">
      <c r="F353" s="6"/>
    </row>
    <row r="354" spans="6:6">
      <c r="F354" s="6"/>
    </row>
    <row r="355" spans="6:6">
      <c r="F355" s="6"/>
    </row>
    <row r="356" spans="6:6">
      <c r="F356" s="6"/>
    </row>
    <row r="357" spans="6:6">
      <c r="F357" s="6"/>
    </row>
    <row r="358" spans="6:6">
      <c r="F358" s="6"/>
    </row>
    <row r="359" spans="6:6">
      <c r="F359" s="6"/>
    </row>
    <row r="360" spans="6:6">
      <c r="F360" s="6"/>
    </row>
    <row r="361" spans="6:6">
      <c r="F361" s="6"/>
    </row>
    <row r="362" spans="6:6">
      <c r="F362" s="6"/>
    </row>
    <row r="363" spans="6:6">
      <c r="F363" s="6"/>
    </row>
    <row r="364" spans="6:6">
      <c r="F364" s="6"/>
    </row>
    <row r="365" spans="6:6">
      <c r="F365" s="6"/>
    </row>
    <row r="366" spans="6:6">
      <c r="F366" s="6"/>
    </row>
    <row r="367" spans="6:6">
      <c r="F367" s="6"/>
    </row>
    <row r="368" spans="6:6">
      <c r="F368" s="6"/>
    </row>
    <row r="369" spans="6:6">
      <c r="F369" s="6"/>
    </row>
    <row r="370" spans="6:6">
      <c r="F370" s="6"/>
    </row>
    <row r="371" spans="6:6">
      <c r="F371" s="6"/>
    </row>
    <row r="372" spans="6:6">
      <c r="F372" s="6"/>
    </row>
    <row r="373" spans="6:6">
      <c r="F373" s="6"/>
    </row>
    <row r="374" spans="6:6">
      <c r="F374" s="6"/>
    </row>
    <row r="375" spans="6:6">
      <c r="F375" s="6"/>
    </row>
    <row r="376" spans="6:6">
      <c r="F376" s="6"/>
    </row>
    <row r="377" spans="6:6">
      <c r="F377" s="6"/>
    </row>
    <row r="378" spans="6:6">
      <c r="F378" s="6"/>
    </row>
    <row r="379" spans="6:6">
      <c r="F379" s="6"/>
    </row>
    <row r="380" spans="6:6">
      <c r="F380" s="6"/>
    </row>
    <row r="381" spans="6:6">
      <c r="F381" s="6"/>
    </row>
    <row r="382" spans="6:6">
      <c r="F382" s="6"/>
    </row>
    <row r="383" spans="6:6">
      <c r="F383" s="6"/>
    </row>
    <row r="384" spans="6:6">
      <c r="F384" s="6"/>
    </row>
    <row r="385" spans="6:6">
      <c r="F385" s="6"/>
    </row>
    <row r="386" spans="6:6">
      <c r="F386" s="6"/>
    </row>
    <row r="387" spans="6:6">
      <c r="F387" s="6"/>
    </row>
    <row r="388" spans="6:6">
      <c r="F388" s="6"/>
    </row>
    <row r="389" spans="6:6">
      <c r="F389" s="6"/>
    </row>
    <row r="390" spans="6:6">
      <c r="F390" s="6"/>
    </row>
    <row r="391" spans="6:6">
      <c r="F391" s="6"/>
    </row>
    <row r="392" spans="6:6">
      <c r="F392" s="6"/>
    </row>
    <row r="393" spans="6:6">
      <c r="F393" s="6"/>
    </row>
    <row r="394" spans="6:6">
      <c r="F394" s="6"/>
    </row>
    <row r="395" spans="6:6">
      <c r="F395" s="6"/>
    </row>
    <row r="396" spans="6:6">
      <c r="F396" s="6"/>
    </row>
    <row r="397" spans="6:6">
      <c r="F397" s="6"/>
    </row>
    <row r="398" spans="6:6">
      <c r="F398" s="6"/>
    </row>
    <row r="399" spans="6:6">
      <c r="F399" s="6"/>
    </row>
    <row r="400" spans="6:6">
      <c r="F400" s="6"/>
    </row>
    <row r="401" spans="6:6">
      <c r="F401" s="6"/>
    </row>
    <row r="402" spans="6:6">
      <c r="F402" s="6"/>
    </row>
    <row r="403" spans="6:6">
      <c r="F403" s="6"/>
    </row>
    <row r="404" spans="6:6">
      <c r="F404" s="6"/>
    </row>
    <row r="405" spans="6:6">
      <c r="F405" s="6"/>
    </row>
    <row r="406" spans="6:6">
      <c r="F406" s="6"/>
    </row>
    <row r="407" spans="6:6">
      <c r="F407" s="6"/>
    </row>
    <row r="408" spans="6:6">
      <c r="F408" s="6"/>
    </row>
    <row r="409" spans="6:6">
      <c r="F409" s="6"/>
    </row>
    <row r="410" spans="6:6">
      <c r="F410" s="6"/>
    </row>
    <row r="411" spans="6:6">
      <c r="F411" s="6"/>
    </row>
    <row r="412" spans="6:6">
      <c r="F412" s="6"/>
    </row>
    <row r="413" spans="6:6">
      <c r="F413" s="6"/>
    </row>
    <row r="414" spans="6:6">
      <c r="F414" s="6"/>
    </row>
    <row r="415" spans="6:6">
      <c r="F415" s="6"/>
    </row>
    <row r="416" spans="6:6">
      <c r="F416" s="6"/>
    </row>
    <row r="417" spans="6:6">
      <c r="F417" s="6"/>
    </row>
    <row r="418" spans="6:6">
      <c r="F418" s="6"/>
    </row>
    <row r="419" spans="6:6">
      <c r="F419" s="6"/>
    </row>
    <row r="420" spans="6:6">
      <c r="F420" s="6"/>
    </row>
    <row r="421" spans="6:6">
      <c r="F421" s="6"/>
    </row>
    <row r="422" spans="6:6">
      <c r="F422" s="6"/>
    </row>
    <row r="423" spans="6:6">
      <c r="F423" s="6"/>
    </row>
    <row r="424" spans="6:6">
      <c r="F424" s="6"/>
    </row>
    <row r="425" spans="6:6">
      <c r="F425" s="6"/>
    </row>
    <row r="426" spans="6:6">
      <c r="F426" s="6"/>
    </row>
    <row r="427" spans="6:6">
      <c r="F427" s="6"/>
    </row>
    <row r="428" spans="6:6">
      <c r="F428" s="6"/>
    </row>
    <row r="429" spans="6:6">
      <c r="F429" s="6"/>
    </row>
    <row r="430" spans="6:6">
      <c r="F430" s="6"/>
    </row>
    <row r="431" spans="6:6">
      <c r="F431" s="6"/>
    </row>
    <row r="432" spans="6:6">
      <c r="F432" s="6"/>
    </row>
    <row r="433" spans="6:6">
      <c r="F433" s="6"/>
    </row>
    <row r="434" spans="6:6">
      <c r="F434" s="6"/>
    </row>
    <row r="435" spans="6:6">
      <c r="F435" s="6"/>
    </row>
    <row r="436" spans="6:6">
      <c r="F436" s="6"/>
    </row>
    <row r="437" spans="6:6">
      <c r="F437" s="6"/>
    </row>
    <row r="438" spans="6:6">
      <c r="F438" s="6"/>
    </row>
    <row r="439" spans="6:6">
      <c r="F439" s="6"/>
    </row>
    <row r="440" spans="6:6">
      <c r="F440" s="6"/>
    </row>
    <row r="441" spans="6:6">
      <c r="F441" s="6"/>
    </row>
    <row r="442" spans="6:6">
      <c r="F442" s="6"/>
    </row>
    <row r="443" spans="6:6">
      <c r="F443" s="6"/>
    </row>
    <row r="444" spans="6:6">
      <c r="F444" s="6"/>
    </row>
    <row r="445" spans="6:6">
      <c r="F445" s="6"/>
    </row>
    <row r="446" spans="6:6">
      <c r="F446" s="6"/>
    </row>
    <row r="447" spans="6:6">
      <c r="F447" s="6"/>
    </row>
    <row r="448" spans="6:6">
      <c r="F448" s="6"/>
    </row>
    <row r="449" spans="6:6">
      <c r="F449" s="6"/>
    </row>
    <row r="450" spans="6:6">
      <c r="F450" s="6"/>
    </row>
    <row r="451" spans="6:6">
      <c r="F451" s="6"/>
    </row>
    <row r="452" spans="6:6">
      <c r="F452" s="6"/>
    </row>
    <row r="453" spans="6:6">
      <c r="F453" s="6"/>
    </row>
    <row r="454" spans="6:6">
      <c r="F454" s="6"/>
    </row>
    <row r="455" spans="6:6">
      <c r="F455" s="6"/>
    </row>
    <row r="456" spans="6:6">
      <c r="F456" s="6"/>
    </row>
    <row r="457" spans="6:6">
      <c r="F457" s="6"/>
    </row>
    <row r="458" spans="6:6">
      <c r="F458" s="6"/>
    </row>
    <row r="459" spans="6:6">
      <c r="F459" s="6"/>
    </row>
    <row r="460" spans="6:6">
      <c r="F460" s="6"/>
    </row>
    <row r="461" spans="6:6">
      <c r="F461" s="6"/>
    </row>
    <row r="462" spans="6:6">
      <c r="F462" s="6"/>
    </row>
    <row r="463" spans="6:6">
      <c r="F463" s="6"/>
    </row>
    <row r="464" spans="6:6">
      <c r="F464" s="6"/>
    </row>
    <row r="465" spans="6:6">
      <c r="F465" s="6"/>
    </row>
    <row r="466" spans="6:6">
      <c r="F466" s="6"/>
    </row>
    <row r="467" spans="6:6">
      <c r="F467" s="6"/>
    </row>
    <row r="468" spans="6:6">
      <c r="F468" s="6"/>
    </row>
    <row r="469" spans="6:6">
      <c r="F469" s="6"/>
    </row>
    <row r="470" spans="6:6">
      <c r="F470" s="6"/>
    </row>
    <row r="471" spans="6:6">
      <c r="F471" s="6"/>
    </row>
    <row r="472" spans="6:6">
      <c r="F472" s="6"/>
    </row>
    <row r="473" spans="6:6">
      <c r="F473" s="6"/>
    </row>
    <row r="474" spans="6:6">
      <c r="F474" s="6"/>
    </row>
    <row r="475" spans="6:6">
      <c r="F475" s="6"/>
    </row>
    <row r="476" spans="6:6">
      <c r="F476" s="6"/>
    </row>
    <row r="477" spans="6:6">
      <c r="F477" s="6"/>
    </row>
    <row r="478" spans="6:6">
      <c r="F478" s="6"/>
    </row>
    <row r="479" spans="6:6">
      <c r="F479" s="6"/>
    </row>
    <row r="480" spans="6:6">
      <c r="F480" s="6"/>
    </row>
    <row r="481" spans="6:6">
      <c r="F481" s="6"/>
    </row>
    <row r="482" spans="6:6">
      <c r="F482" s="6"/>
    </row>
    <row r="483" spans="6:6">
      <c r="F483" s="6"/>
    </row>
    <row r="484" spans="6:6">
      <c r="F484" s="6"/>
    </row>
    <row r="485" spans="6:6">
      <c r="F485" s="6"/>
    </row>
    <row r="486" spans="6:6">
      <c r="F486" s="6"/>
    </row>
    <row r="487" spans="6:6">
      <c r="F487" s="6"/>
    </row>
    <row r="488" spans="6:6">
      <c r="F488" s="6"/>
    </row>
    <row r="489" spans="6:6">
      <c r="F489" s="6"/>
    </row>
    <row r="490" spans="6:6">
      <c r="F490" s="6"/>
    </row>
    <row r="491" spans="6:6">
      <c r="F491" s="6"/>
    </row>
    <row r="492" spans="6:6">
      <c r="F492" s="6"/>
    </row>
    <row r="493" spans="6:6">
      <c r="F493" s="6"/>
    </row>
    <row r="494" spans="6:6">
      <c r="F494" s="6"/>
    </row>
    <row r="495" spans="6:6">
      <c r="F495" s="6"/>
    </row>
    <row r="496" spans="6:6">
      <c r="F496" s="6"/>
    </row>
    <row r="497" spans="6:6">
      <c r="F497" s="6"/>
    </row>
    <row r="498" spans="6:6">
      <c r="F498" s="6"/>
    </row>
    <row r="499" spans="6:6">
      <c r="F499" s="6"/>
    </row>
    <row r="500" spans="6:6">
      <c r="F500" s="6"/>
    </row>
    <row r="501" spans="6:6">
      <c r="F501" s="6"/>
    </row>
    <row r="502" spans="6:6">
      <c r="F502" s="6"/>
    </row>
    <row r="503" spans="6:6">
      <c r="F503" s="6"/>
    </row>
    <row r="504" spans="6:6">
      <c r="F504" s="6"/>
    </row>
    <row r="505" spans="6:6">
      <c r="F505" s="6"/>
    </row>
    <row r="506" spans="6:6">
      <c r="F506" s="6"/>
    </row>
    <row r="507" spans="6:6">
      <c r="F507" s="6"/>
    </row>
    <row r="508" spans="6:6">
      <c r="F508" s="6"/>
    </row>
    <row r="509" spans="6:6">
      <c r="F509" s="6"/>
    </row>
    <row r="510" spans="6:6">
      <c r="F510" s="6"/>
    </row>
    <row r="511" spans="6:6">
      <c r="F511" s="6"/>
    </row>
    <row r="512" spans="6:6">
      <c r="F512" s="6"/>
    </row>
    <row r="513" spans="6:6">
      <c r="F513" s="6"/>
    </row>
    <row r="514" spans="6:6">
      <c r="F514" s="6"/>
    </row>
    <row r="515" spans="6:6">
      <c r="F515" s="6"/>
    </row>
    <row r="516" spans="6:6">
      <c r="F516" s="6"/>
    </row>
    <row r="517" spans="6:6">
      <c r="F517" s="6"/>
    </row>
    <row r="518" spans="6:6">
      <c r="F518" s="6"/>
    </row>
    <row r="519" spans="6:6">
      <c r="F519" s="6"/>
    </row>
    <row r="520" spans="6:6">
      <c r="F520" s="6"/>
    </row>
    <row r="521" spans="6:6">
      <c r="F521" s="6"/>
    </row>
    <row r="522" spans="6:6">
      <c r="F522" s="6"/>
    </row>
    <row r="523" spans="6:6">
      <c r="F523" s="6"/>
    </row>
    <row r="524" spans="6:6">
      <c r="F524" s="6"/>
    </row>
    <row r="525" spans="6:6">
      <c r="F525" s="6"/>
    </row>
    <row r="526" spans="6:6">
      <c r="F526" s="6"/>
    </row>
    <row r="527" spans="6:6">
      <c r="F527" s="6"/>
    </row>
    <row r="528" spans="6:6">
      <c r="F528" s="6"/>
    </row>
    <row r="529" spans="6:6">
      <c r="F529" s="6"/>
    </row>
    <row r="530" spans="6:6">
      <c r="F530" s="6"/>
    </row>
    <row r="531" spans="6:6">
      <c r="F531" s="6"/>
    </row>
    <row r="532" spans="6:6">
      <c r="F532" s="6"/>
    </row>
    <row r="533" spans="6:6">
      <c r="F533" s="6"/>
    </row>
    <row r="534" spans="6:6">
      <c r="F534" s="6"/>
    </row>
    <row r="535" spans="6:6">
      <c r="F535" s="6"/>
    </row>
    <row r="536" spans="6:6">
      <c r="F536" s="6"/>
    </row>
    <row r="537" spans="6:6">
      <c r="F537" s="6"/>
    </row>
    <row r="538" spans="6:6">
      <c r="F538" s="6"/>
    </row>
    <row r="539" spans="6:6">
      <c r="F539" s="6"/>
    </row>
    <row r="540" spans="6:6">
      <c r="F540" s="6"/>
    </row>
    <row r="541" spans="6:6">
      <c r="F541" s="6"/>
    </row>
    <row r="542" spans="6:6">
      <c r="F542" s="6"/>
    </row>
    <row r="543" spans="6:6">
      <c r="F543" s="6"/>
    </row>
    <row r="544" spans="6:6">
      <c r="F544" s="6"/>
    </row>
    <row r="545" spans="6:6">
      <c r="F545" s="6"/>
    </row>
    <row r="546" spans="6:6">
      <c r="F546" s="6"/>
    </row>
    <row r="547" spans="6:6">
      <c r="F547" s="6"/>
    </row>
    <row r="548" spans="6:6">
      <c r="F548" s="6"/>
    </row>
    <row r="549" spans="6:6">
      <c r="F549" s="6"/>
    </row>
    <row r="550" spans="6:6">
      <c r="F550" s="6"/>
    </row>
    <row r="551" spans="6:6">
      <c r="F551" s="6"/>
    </row>
    <row r="552" spans="6:6">
      <c r="F552" s="6"/>
    </row>
    <row r="553" spans="6:6">
      <c r="F553" s="6"/>
    </row>
    <row r="554" spans="6:6">
      <c r="F554" s="6"/>
    </row>
    <row r="555" spans="6:6">
      <c r="F555" s="6"/>
    </row>
    <row r="556" spans="6:6">
      <c r="F556" s="6"/>
    </row>
    <row r="557" spans="6:6">
      <c r="F557" s="6"/>
    </row>
    <row r="558" spans="6:6">
      <c r="F558" s="6"/>
    </row>
    <row r="559" spans="6:6">
      <c r="F559" s="6"/>
    </row>
    <row r="560" spans="6:6">
      <c r="F560" s="6"/>
    </row>
    <row r="561" spans="6:6">
      <c r="F561" s="6"/>
    </row>
    <row r="562" spans="6:6">
      <c r="F562" s="6"/>
    </row>
    <row r="563" spans="6:6">
      <c r="F563" s="6"/>
    </row>
    <row r="564" spans="6:6">
      <c r="F564" s="6"/>
    </row>
    <row r="565" spans="6:6">
      <c r="F565" s="6"/>
    </row>
    <row r="566" spans="6:6">
      <c r="F566" s="6"/>
    </row>
    <row r="567" spans="6:6">
      <c r="F567" s="6"/>
    </row>
    <row r="568" spans="6:6">
      <c r="F568" s="6"/>
    </row>
    <row r="569" spans="6:6">
      <c r="F569" s="6"/>
    </row>
    <row r="570" spans="6:6">
      <c r="F570" s="6"/>
    </row>
    <row r="571" spans="6:6">
      <c r="F571" s="6"/>
    </row>
    <row r="572" spans="6:6">
      <c r="F572" s="6"/>
    </row>
    <row r="573" spans="6:6">
      <c r="F573" s="6"/>
    </row>
    <row r="574" spans="6:6">
      <c r="F574" s="6"/>
    </row>
    <row r="575" spans="6:6">
      <c r="F575" s="6"/>
    </row>
    <row r="576" spans="6:6">
      <c r="F576" s="6"/>
    </row>
    <row r="577" spans="6:6">
      <c r="F577" s="6"/>
    </row>
    <row r="578" spans="6:6">
      <c r="F578" s="6"/>
    </row>
    <row r="579" spans="6:6">
      <c r="F579" s="6"/>
    </row>
    <row r="580" spans="6:6">
      <c r="F580" s="6"/>
    </row>
    <row r="581" spans="6:6">
      <c r="F581" s="6"/>
    </row>
    <row r="582" spans="6:6">
      <c r="F582" s="6"/>
    </row>
    <row r="583" spans="6:6">
      <c r="F583" s="6"/>
    </row>
    <row r="584" spans="6:6">
      <c r="F584" s="6"/>
    </row>
    <row r="585" spans="6:6">
      <c r="F585" s="6"/>
    </row>
    <row r="586" spans="6:6">
      <c r="F586" s="6"/>
    </row>
    <row r="587" spans="6:6">
      <c r="F587" s="6"/>
    </row>
    <row r="588" spans="6:6">
      <c r="F588" s="6"/>
    </row>
    <row r="589" spans="6:6">
      <c r="F589" s="6"/>
    </row>
    <row r="590" spans="6:6">
      <c r="F590" s="6"/>
    </row>
    <row r="591" spans="6:6">
      <c r="F591" s="6"/>
    </row>
    <row r="592" spans="6:6">
      <c r="F592" s="6"/>
    </row>
    <row r="593" spans="6:6">
      <c r="F593" s="6"/>
    </row>
    <row r="594" spans="6:6">
      <c r="F594" s="6"/>
    </row>
    <row r="595" spans="6:6">
      <c r="F595" s="6"/>
    </row>
    <row r="596" spans="6:6">
      <c r="F596" s="6"/>
    </row>
    <row r="597" spans="6:6">
      <c r="F597" s="6"/>
    </row>
    <row r="598" spans="6:6">
      <c r="F598" s="6"/>
    </row>
    <row r="599" spans="6:6">
      <c r="F599" s="6"/>
    </row>
    <row r="600" spans="6:6">
      <c r="F600" s="6"/>
    </row>
    <row r="601" spans="6:6">
      <c r="F601" s="6"/>
    </row>
    <row r="602" spans="6:6">
      <c r="F602" s="6"/>
    </row>
    <row r="603" spans="6:6">
      <c r="F603" s="6"/>
    </row>
    <row r="604" spans="6:6">
      <c r="F604" s="6"/>
    </row>
    <row r="605" spans="6:6">
      <c r="F605" s="6"/>
    </row>
    <row r="606" spans="6:6">
      <c r="F606" s="6"/>
    </row>
    <row r="607" spans="6:6">
      <c r="F607" s="6"/>
    </row>
    <row r="608" spans="6:6">
      <c r="F608" s="6"/>
    </row>
    <row r="609" spans="6:6">
      <c r="F609" s="6"/>
    </row>
    <row r="610" spans="6:6">
      <c r="F610" s="6"/>
    </row>
    <row r="611" spans="6:6">
      <c r="F611" s="6"/>
    </row>
    <row r="612" spans="6:6">
      <c r="F612" s="6"/>
    </row>
    <row r="613" spans="6:6">
      <c r="F613" s="6"/>
    </row>
    <row r="614" spans="6:6">
      <c r="F614" s="6"/>
    </row>
    <row r="615" spans="6:6">
      <c r="F615" s="6"/>
    </row>
    <row r="616" spans="6:6">
      <c r="F616" s="6"/>
    </row>
    <row r="617" spans="6:6">
      <c r="F617" s="6"/>
    </row>
    <row r="618" spans="6:6">
      <c r="F618" s="6"/>
    </row>
    <row r="619" spans="6:6">
      <c r="F619" s="6"/>
    </row>
    <row r="620" spans="6:6">
      <c r="F620" s="6"/>
    </row>
    <row r="621" spans="6:6">
      <c r="F621" s="6"/>
    </row>
    <row r="622" spans="6:6">
      <c r="F622" s="6"/>
    </row>
    <row r="623" spans="6:6">
      <c r="F623" s="6"/>
    </row>
    <row r="624" spans="6:6">
      <c r="F624" s="6"/>
    </row>
    <row r="625" spans="6:6">
      <c r="F625" s="6"/>
    </row>
    <row r="626" spans="6:6">
      <c r="F626" s="6"/>
    </row>
    <row r="627" spans="6:6">
      <c r="F627" s="6"/>
    </row>
    <row r="628" spans="6:6">
      <c r="F628" s="6"/>
    </row>
    <row r="629" spans="6:6">
      <c r="F629" s="6"/>
    </row>
    <row r="630" spans="6:6">
      <c r="F630" s="6"/>
    </row>
    <row r="631" spans="6:6">
      <c r="F631" s="6"/>
    </row>
    <row r="632" spans="6:6">
      <c r="F632" s="6"/>
    </row>
    <row r="633" spans="6:6">
      <c r="F633" s="6"/>
    </row>
    <row r="634" spans="6:6">
      <c r="F634" s="6"/>
    </row>
    <row r="635" spans="6:6">
      <c r="F635" s="6"/>
    </row>
    <row r="636" spans="6:6">
      <c r="F636" s="6"/>
    </row>
    <row r="637" spans="6:6">
      <c r="F637" s="6"/>
    </row>
    <row r="638" spans="6:6">
      <c r="F638" s="6"/>
    </row>
    <row r="639" spans="6:6">
      <c r="F639" s="6"/>
    </row>
    <row r="640" spans="6:6">
      <c r="F640" s="6"/>
    </row>
    <row r="641" spans="6:6">
      <c r="F641" s="6"/>
    </row>
    <row r="642" spans="6:6">
      <c r="F642" s="6"/>
    </row>
    <row r="643" spans="6:6">
      <c r="F643" s="6"/>
    </row>
    <row r="644" spans="6:6">
      <c r="F644" s="6"/>
    </row>
    <row r="645" spans="6:6">
      <c r="F645" s="6"/>
    </row>
    <row r="646" spans="6:6">
      <c r="F646" s="6"/>
    </row>
    <row r="647" spans="6:6">
      <c r="F647" s="6"/>
    </row>
    <row r="648" spans="6:6">
      <c r="F648" s="6"/>
    </row>
    <row r="649" spans="6:6">
      <c r="F649" s="6"/>
    </row>
    <row r="650" spans="6:6">
      <c r="F650" s="6"/>
    </row>
    <row r="651" spans="6:6">
      <c r="F651" s="6"/>
    </row>
    <row r="652" spans="6:6">
      <c r="F652" s="6"/>
    </row>
    <row r="653" spans="6:6">
      <c r="F653" s="6"/>
    </row>
    <row r="654" spans="6:6">
      <c r="F654" s="6"/>
    </row>
    <row r="655" spans="6:6">
      <c r="F655" s="6"/>
    </row>
    <row r="656" spans="6:6">
      <c r="F656" s="6"/>
    </row>
    <row r="657" spans="6:6">
      <c r="F657" s="6"/>
    </row>
    <row r="658" spans="6:6">
      <c r="F658" s="6"/>
    </row>
    <row r="659" spans="6:6">
      <c r="F659" s="6"/>
    </row>
    <row r="660" spans="6:6">
      <c r="F660" s="6"/>
    </row>
    <row r="661" spans="6:6">
      <c r="F661" s="6"/>
    </row>
    <row r="662" spans="6:6">
      <c r="F662" s="6"/>
    </row>
    <row r="663" spans="6:6">
      <c r="F663" s="6"/>
    </row>
    <row r="664" spans="6:6">
      <c r="F664" s="6"/>
    </row>
    <row r="665" spans="6:6">
      <c r="F665" s="6"/>
    </row>
    <row r="666" spans="6:6">
      <c r="F666" s="6"/>
    </row>
    <row r="667" spans="6:6">
      <c r="F667" s="6"/>
    </row>
    <row r="668" spans="6:6">
      <c r="F668" s="6"/>
    </row>
    <row r="669" spans="6:6">
      <c r="F669" s="6"/>
    </row>
    <row r="670" spans="6:6">
      <c r="F670" s="6"/>
    </row>
    <row r="671" spans="6:6">
      <c r="F671" s="6"/>
    </row>
    <row r="672" spans="6:6">
      <c r="F672" s="6"/>
    </row>
    <row r="673" spans="6:6">
      <c r="F673" s="6"/>
    </row>
    <row r="674" spans="6:6">
      <c r="F674" s="6"/>
    </row>
    <row r="675" spans="6:6">
      <c r="F675" s="6"/>
    </row>
    <row r="676" spans="6:6">
      <c r="F676" s="6"/>
    </row>
    <row r="677" spans="6:6">
      <c r="F677" s="6"/>
    </row>
    <row r="678" spans="6:6">
      <c r="F678" s="6"/>
    </row>
    <row r="679" spans="6:6">
      <c r="F679" s="6"/>
    </row>
    <row r="680" spans="6:6">
      <c r="F680" s="6"/>
    </row>
    <row r="681" spans="6:6">
      <c r="F681" s="6"/>
    </row>
    <row r="682" spans="6:6">
      <c r="F682" s="6"/>
    </row>
    <row r="683" spans="6:6">
      <c r="F683" s="6"/>
    </row>
    <row r="684" spans="6:6">
      <c r="F684" s="6"/>
    </row>
    <row r="685" spans="6:6">
      <c r="F685" s="6"/>
    </row>
    <row r="686" spans="6:6">
      <c r="F686" s="6"/>
    </row>
    <row r="687" spans="6:6">
      <c r="F687" s="6"/>
    </row>
    <row r="688" spans="6:6">
      <c r="F688" s="6"/>
    </row>
    <row r="689" spans="6:6">
      <c r="F689" s="6"/>
    </row>
    <row r="690" spans="6:6">
      <c r="F690" s="6"/>
    </row>
    <row r="691" spans="6:6">
      <c r="F691" s="6"/>
    </row>
    <row r="692" spans="6:6">
      <c r="F692" s="6"/>
    </row>
    <row r="693" spans="6:6">
      <c r="F693" s="6"/>
    </row>
    <row r="694" spans="6:6">
      <c r="F694" s="6"/>
    </row>
    <row r="695" spans="6:6">
      <c r="F695" s="6"/>
    </row>
    <row r="696" spans="6:6">
      <c r="F696" s="6"/>
    </row>
    <row r="697" spans="6:6">
      <c r="F697" s="6"/>
    </row>
    <row r="698" spans="6:6">
      <c r="F698" s="6"/>
    </row>
    <row r="699" spans="6:6">
      <c r="F699" s="6"/>
    </row>
    <row r="700" spans="6:6">
      <c r="F700" s="6"/>
    </row>
    <row r="701" spans="6:6">
      <c r="F701" s="6"/>
    </row>
    <row r="702" spans="6:6">
      <c r="F702" s="6"/>
    </row>
    <row r="703" spans="6:6">
      <c r="F703" s="6"/>
    </row>
    <row r="704" spans="6:6">
      <c r="F704" s="6"/>
    </row>
    <row r="705" spans="6:6">
      <c r="F705" s="6"/>
    </row>
    <row r="706" spans="6:6">
      <c r="F706" s="6"/>
    </row>
    <row r="707" spans="6:6">
      <c r="F707" s="6"/>
    </row>
    <row r="708" spans="6:6">
      <c r="F708" s="6"/>
    </row>
    <row r="709" spans="6:6">
      <c r="F709" s="6"/>
    </row>
    <row r="710" spans="6:6">
      <c r="F710" s="6"/>
    </row>
    <row r="711" spans="6:6">
      <c r="F711" s="6"/>
    </row>
    <row r="712" spans="6:6">
      <c r="F712" s="6"/>
    </row>
    <row r="713" spans="6:6">
      <c r="F713" s="6"/>
    </row>
    <row r="714" spans="6:6">
      <c r="F714" s="6"/>
    </row>
    <row r="715" spans="6:6">
      <c r="F715" s="6"/>
    </row>
    <row r="716" spans="6:6">
      <c r="F716" s="6"/>
    </row>
    <row r="717" spans="6:6">
      <c r="F717" s="6"/>
    </row>
    <row r="718" spans="6:6">
      <c r="F718" s="6"/>
    </row>
    <row r="719" spans="6:6">
      <c r="F719" s="6"/>
    </row>
    <row r="720" spans="6:6">
      <c r="F720" s="6"/>
    </row>
    <row r="721" spans="6:6">
      <c r="F721" s="6"/>
    </row>
    <row r="722" spans="6:6">
      <c r="F722" s="6"/>
    </row>
    <row r="723" spans="6:6">
      <c r="F723" s="6"/>
    </row>
    <row r="724" spans="6:6">
      <c r="F724" s="6"/>
    </row>
    <row r="725" spans="6:6">
      <c r="F725" s="6"/>
    </row>
    <row r="726" spans="6:6">
      <c r="F726" s="6"/>
    </row>
    <row r="727" spans="6:6">
      <c r="F727" s="6"/>
    </row>
    <row r="728" spans="6:6">
      <c r="F728" s="6"/>
    </row>
    <row r="729" spans="6:6">
      <c r="F729" s="6"/>
    </row>
    <row r="730" spans="6:6">
      <c r="F730" s="6"/>
    </row>
    <row r="731" spans="6:6">
      <c r="F731" s="6"/>
    </row>
    <row r="732" spans="6:6">
      <c r="F732" s="6"/>
    </row>
    <row r="733" spans="6:6">
      <c r="F733" s="6"/>
    </row>
    <row r="734" spans="6:6">
      <c r="F734" s="6"/>
    </row>
    <row r="735" spans="6:6">
      <c r="F735" s="6"/>
    </row>
    <row r="736" spans="6:6">
      <c r="F736" s="6"/>
    </row>
    <row r="737" spans="6:6">
      <c r="F737" s="6"/>
    </row>
    <row r="738" spans="6:6">
      <c r="F738" s="6"/>
    </row>
    <row r="739" spans="6:6">
      <c r="F739" s="6"/>
    </row>
    <row r="740" spans="6:6">
      <c r="F740" s="6"/>
    </row>
    <row r="741" spans="6:6">
      <c r="F741" s="6"/>
    </row>
    <row r="742" spans="6:6">
      <c r="F742" s="6"/>
    </row>
    <row r="743" spans="6:6">
      <c r="F743" s="6"/>
    </row>
    <row r="744" spans="6:6">
      <c r="F744" s="6"/>
    </row>
    <row r="745" spans="6:6">
      <c r="F745" s="6"/>
    </row>
    <row r="746" spans="6:6">
      <c r="F746" s="6"/>
    </row>
    <row r="747" spans="6:6">
      <c r="F747" s="6"/>
    </row>
    <row r="748" spans="6:6">
      <c r="F748" s="6"/>
    </row>
    <row r="749" spans="6:6">
      <c r="F749" s="6"/>
    </row>
    <row r="750" spans="6:6">
      <c r="F750" s="6"/>
    </row>
    <row r="751" spans="6:6">
      <c r="F751" s="6"/>
    </row>
    <row r="752" spans="6:6">
      <c r="F752" s="6"/>
    </row>
    <row r="753" spans="6:6">
      <c r="F753" s="6"/>
    </row>
    <row r="754" spans="6:6">
      <c r="F754" s="6"/>
    </row>
    <row r="755" spans="6:6">
      <c r="F755" s="6"/>
    </row>
    <row r="756" spans="6:6">
      <c r="F756" s="6"/>
    </row>
    <row r="757" spans="6:6">
      <c r="F757" s="6"/>
    </row>
    <row r="758" spans="6:6">
      <c r="F758" s="6"/>
    </row>
    <row r="759" spans="6:6">
      <c r="F759" s="6"/>
    </row>
    <row r="760" spans="6:6">
      <c r="F760" s="6"/>
    </row>
    <row r="761" spans="6:6">
      <c r="F761" s="6"/>
    </row>
    <row r="762" spans="6:6">
      <c r="F762" s="6"/>
    </row>
    <row r="763" spans="6:6">
      <c r="F763" s="6"/>
    </row>
    <row r="764" spans="6:6">
      <c r="F764" s="6"/>
    </row>
    <row r="765" spans="6:6">
      <c r="F765" s="6"/>
    </row>
    <row r="766" spans="6:6">
      <c r="F766" s="6"/>
    </row>
    <row r="767" spans="6:6">
      <c r="F767" s="6"/>
    </row>
    <row r="768" spans="6:6">
      <c r="F768" s="6"/>
    </row>
    <row r="769" spans="6:6">
      <c r="F769" s="6"/>
    </row>
    <row r="770" spans="6:6">
      <c r="F770" s="6"/>
    </row>
    <row r="771" spans="6:6">
      <c r="F771" s="6"/>
    </row>
    <row r="772" spans="6:6">
      <c r="F772" s="6"/>
    </row>
    <row r="773" spans="6:6">
      <c r="F773" s="6"/>
    </row>
    <row r="774" spans="6:6">
      <c r="F774" s="6"/>
    </row>
    <row r="775" spans="6:6">
      <c r="F775" s="6"/>
    </row>
    <row r="776" spans="6:6">
      <c r="F776" s="6"/>
    </row>
    <row r="777" spans="6:6">
      <c r="F777" s="6"/>
    </row>
    <row r="778" spans="6:6">
      <c r="F778" s="6"/>
    </row>
    <row r="779" spans="6:6">
      <c r="F779" s="6"/>
    </row>
    <row r="780" spans="6:6">
      <c r="F780" s="6"/>
    </row>
    <row r="781" spans="6:6">
      <c r="F781" s="6"/>
    </row>
    <row r="782" spans="6:6">
      <c r="F782" s="6"/>
    </row>
    <row r="783" spans="6:6">
      <c r="F783" s="6"/>
    </row>
    <row r="784" spans="6:6">
      <c r="F784" s="6"/>
    </row>
    <row r="785" spans="6:6">
      <c r="F785" s="6"/>
    </row>
    <row r="786" spans="6:6">
      <c r="F786" s="6"/>
    </row>
    <row r="787" spans="6:6">
      <c r="F787" s="6"/>
    </row>
    <row r="788" spans="6:6">
      <c r="F788" s="6"/>
    </row>
    <row r="789" spans="6:6">
      <c r="F789" s="6"/>
    </row>
    <row r="790" spans="6:6">
      <c r="F790" s="6"/>
    </row>
    <row r="791" spans="6:6">
      <c r="F791" s="6"/>
    </row>
    <row r="792" spans="6:6">
      <c r="F792" s="6"/>
    </row>
    <row r="793" spans="6:6">
      <c r="F793" s="6"/>
    </row>
    <row r="794" spans="6:6">
      <c r="F794" s="6"/>
    </row>
    <row r="795" spans="6:6">
      <c r="F795" s="6"/>
    </row>
    <row r="796" spans="6:6">
      <c r="F796" s="6"/>
    </row>
    <row r="797" spans="6:6">
      <c r="F797" s="6"/>
    </row>
    <row r="798" spans="6:6">
      <c r="F798" s="6"/>
    </row>
    <row r="799" spans="6:6">
      <c r="F799" s="6"/>
    </row>
    <row r="800" spans="6:6">
      <c r="F800" s="6"/>
    </row>
    <row r="801" spans="6:6">
      <c r="F801" s="6"/>
    </row>
    <row r="802" spans="6:6">
      <c r="F802" s="6"/>
    </row>
    <row r="803" spans="6:6">
      <c r="F803" s="6"/>
    </row>
    <row r="804" spans="6:6">
      <c r="F804" s="6"/>
    </row>
    <row r="805" spans="6:6">
      <c r="F805" s="6"/>
    </row>
    <row r="806" spans="6:6">
      <c r="F806" s="6"/>
    </row>
    <row r="807" spans="6:6">
      <c r="F807" s="6"/>
    </row>
    <row r="808" spans="6:6">
      <c r="F808" s="6"/>
    </row>
    <row r="809" spans="6:6">
      <c r="F809" s="6"/>
    </row>
    <row r="810" spans="6:6">
      <c r="F810" s="6"/>
    </row>
    <row r="811" spans="6:6">
      <c r="F811" s="6"/>
    </row>
    <row r="812" spans="6:6">
      <c r="F812" s="6"/>
    </row>
    <row r="813" spans="6:6">
      <c r="F813" s="6"/>
    </row>
    <row r="814" spans="6:6">
      <c r="F814" s="6"/>
    </row>
    <row r="815" spans="6:6">
      <c r="F815" s="6"/>
    </row>
    <row r="816" spans="6:6">
      <c r="F816" s="6"/>
    </row>
    <row r="817" spans="6:6">
      <c r="F817" s="6"/>
    </row>
    <row r="818" spans="6:6">
      <c r="F818" s="6"/>
    </row>
    <row r="819" spans="6:6">
      <c r="F819" s="6"/>
    </row>
    <row r="820" spans="6:6">
      <c r="F820" s="6"/>
    </row>
    <row r="821" spans="6:6">
      <c r="F821" s="6"/>
    </row>
    <row r="822" spans="6:6">
      <c r="F822" s="6"/>
    </row>
    <row r="823" spans="6:6">
      <c r="F823" s="6"/>
    </row>
    <row r="824" spans="6:6">
      <c r="F824" s="6"/>
    </row>
    <row r="825" spans="6:6">
      <c r="F825" s="6"/>
    </row>
    <row r="826" spans="6:6">
      <c r="F826" s="6"/>
    </row>
    <row r="827" spans="6:6">
      <c r="F827" s="6"/>
    </row>
    <row r="828" spans="6:6">
      <c r="F828" s="6"/>
    </row>
    <row r="829" spans="6:6">
      <c r="F829" s="6"/>
    </row>
    <row r="830" spans="6:6">
      <c r="F830" s="6"/>
    </row>
    <row r="831" spans="6:6">
      <c r="F831" s="6"/>
    </row>
    <row r="832" spans="6:6">
      <c r="F832" s="6"/>
    </row>
    <row r="833" spans="6:6">
      <c r="F833" s="6"/>
    </row>
    <row r="834" spans="6:6">
      <c r="F834" s="6"/>
    </row>
    <row r="835" spans="6:6">
      <c r="F835" s="6"/>
    </row>
    <row r="836" spans="6:6">
      <c r="F836" s="6"/>
    </row>
    <row r="837" spans="6:6">
      <c r="F837" s="6"/>
    </row>
    <row r="838" spans="6:6">
      <c r="F838" s="6"/>
    </row>
    <row r="839" spans="6:6">
      <c r="F839" s="6"/>
    </row>
    <row r="840" spans="6:6">
      <c r="F840" s="6"/>
    </row>
    <row r="841" spans="6:6">
      <c r="F841" s="6"/>
    </row>
    <row r="842" spans="6:6">
      <c r="F842" s="6"/>
    </row>
    <row r="843" spans="6:6">
      <c r="F843" s="6"/>
    </row>
    <row r="844" spans="6:6">
      <c r="F844" s="6"/>
    </row>
    <row r="845" spans="6:6">
      <c r="F845" s="6"/>
    </row>
    <row r="846" spans="6:6">
      <c r="F846" s="6"/>
    </row>
    <row r="847" spans="6:6">
      <c r="F847" s="6"/>
    </row>
    <row r="848" spans="6:6">
      <c r="F848" s="6"/>
    </row>
    <row r="849" spans="6:6">
      <c r="F849" s="6"/>
    </row>
    <row r="850" spans="6:6">
      <c r="F850" s="6"/>
    </row>
    <row r="851" spans="6:6">
      <c r="F851" s="6"/>
    </row>
    <row r="852" spans="6:6">
      <c r="F852" s="6"/>
    </row>
    <row r="853" spans="6:6">
      <c r="F853" s="6"/>
    </row>
    <row r="854" spans="6:6">
      <c r="F854" s="6"/>
    </row>
    <row r="855" spans="6:6">
      <c r="F855" s="6"/>
    </row>
    <row r="856" spans="6:6">
      <c r="F856" s="6"/>
    </row>
    <row r="857" spans="6:6">
      <c r="F857" s="6"/>
    </row>
    <row r="858" spans="6:6">
      <c r="F858" s="6"/>
    </row>
    <row r="859" spans="6:6">
      <c r="F859" s="6"/>
    </row>
    <row r="860" spans="6:6">
      <c r="F860" s="6"/>
    </row>
    <row r="861" spans="6:6">
      <c r="F861" s="6"/>
    </row>
    <row r="862" spans="6:6">
      <c r="F862" s="6"/>
    </row>
    <row r="863" spans="6:6">
      <c r="F863" s="6"/>
    </row>
    <row r="864" spans="6:6">
      <c r="F864" s="6"/>
    </row>
    <row r="865" spans="6:6">
      <c r="F865" s="6"/>
    </row>
    <row r="866" spans="6:6">
      <c r="F866" s="6"/>
    </row>
    <row r="867" spans="6:6">
      <c r="F867" s="6"/>
    </row>
    <row r="868" spans="6:6">
      <c r="F868" s="6"/>
    </row>
    <row r="869" spans="6:6">
      <c r="F869" s="6"/>
    </row>
    <row r="870" spans="6:6">
      <c r="F870" s="6"/>
    </row>
    <row r="871" spans="6:6">
      <c r="F871" s="6"/>
    </row>
    <row r="872" spans="6:6">
      <c r="F872" s="6"/>
    </row>
    <row r="873" spans="6:6">
      <c r="F873" s="6"/>
    </row>
    <row r="874" spans="6:6">
      <c r="F874" s="6"/>
    </row>
    <row r="875" spans="6:6">
      <c r="F875" s="6"/>
    </row>
    <row r="876" spans="6:6">
      <c r="F876" s="6"/>
    </row>
    <row r="877" spans="6:6">
      <c r="F877" s="6"/>
    </row>
    <row r="878" spans="6:6">
      <c r="F878" s="6"/>
    </row>
    <row r="879" spans="6:6">
      <c r="F879" s="6"/>
    </row>
    <row r="880" spans="6:6">
      <c r="F880" s="6"/>
    </row>
    <row r="881" spans="6:6">
      <c r="F881" s="6"/>
    </row>
    <row r="882" spans="6:6">
      <c r="F882" s="6"/>
    </row>
    <row r="883" spans="6:6">
      <c r="F883" s="6"/>
    </row>
    <row r="884" spans="6:6">
      <c r="F884" s="6"/>
    </row>
    <row r="885" spans="6:6">
      <c r="F885" s="6"/>
    </row>
    <row r="886" spans="6:6">
      <c r="F886" s="6"/>
    </row>
    <row r="887" spans="6:6">
      <c r="F887" s="6"/>
    </row>
    <row r="888" spans="6:6">
      <c r="F888" s="6"/>
    </row>
    <row r="889" spans="6:6">
      <c r="F889" s="6"/>
    </row>
    <row r="890" spans="6:6">
      <c r="F890" s="6"/>
    </row>
    <row r="891" spans="6:6">
      <c r="F891" s="6"/>
    </row>
    <row r="892" spans="6:6">
      <c r="F892" s="6"/>
    </row>
    <row r="893" spans="6:6">
      <c r="F893" s="6"/>
    </row>
    <row r="894" spans="6:6">
      <c r="F894" s="6"/>
    </row>
    <row r="895" spans="6:6">
      <c r="F895" s="6"/>
    </row>
    <row r="896" spans="6:6">
      <c r="F896" s="6"/>
    </row>
    <row r="897" spans="6:6">
      <c r="F897" s="6"/>
    </row>
    <row r="898" spans="6:6">
      <c r="F898" s="6"/>
    </row>
    <row r="899" spans="6:6">
      <c r="F899" s="6"/>
    </row>
    <row r="900" spans="6:6">
      <c r="F900" s="6"/>
    </row>
    <row r="901" spans="6:6">
      <c r="F901" s="6"/>
    </row>
    <row r="902" spans="6:6">
      <c r="F902" s="6"/>
    </row>
    <row r="903" spans="6:6">
      <c r="F903" s="6"/>
    </row>
    <row r="904" spans="6:6">
      <c r="F904" s="6"/>
    </row>
    <row r="905" spans="6:6">
      <c r="F905" s="6"/>
    </row>
    <row r="906" spans="6:6">
      <c r="F906" s="6"/>
    </row>
    <row r="907" spans="6:6">
      <c r="F907" s="6"/>
    </row>
    <row r="908" spans="6:6">
      <c r="F908" s="6"/>
    </row>
    <row r="909" spans="6:6">
      <c r="F909" s="6"/>
    </row>
    <row r="910" spans="6:6">
      <c r="F910" s="6"/>
    </row>
    <row r="911" spans="6:6">
      <c r="F911" s="6"/>
    </row>
    <row r="912" spans="6:6">
      <c r="F912" s="6"/>
    </row>
    <row r="913" spans="6:6">
      <c r="F913" s="6"/>
    </row>
    <row r="914" spans="6:6">
      <c r="F914" s="6"/>
    </row>
    <row r="915" spans="6:6">
      <c r="F915" s="6"/>
    </row>
    <row r="916" spans="6:6">
      <c r="F916" s="6"/>
    </row>
    <row r="917" spans="6:6">
      <c r="F917" s="6"/>
    </row>
    <row r="918" spans="6:6">
      <c r="F918" s="6"/>
    </row>
    <row r="919" spans="6:6">
      <c r="F919" s="6"/>
    </row>
    <row r="920" spans="6:6">
      <c r="F920" s="6"/>
    </row>
    <row r="921" spans="6:6">
      <c r="F921" s="6"/>
    </row>
    <row r="922" spans="6:6">
      <c r="F922" s="6"/>
    </row>
    <row r="923" spans="6:6">
      <c r="F923" s="6"/>
    </row>
    <row r="924" spans="6:6">
      <c r="F924" s="6"/>
    </row>
    <row r="925" spans="6:6">
      <c r="F925" s="6"/>
    </row>
    <row r="926" spans="6:6">
      <c r="F926" s="6"/>
    </row>
    <row r="927" spans="6:6">
      <c r="F927" s="6"/>
    </row>
    <row r="928" spans="6:6">
      <c r="F928" s="6"/>
    </row>
    <row r="929" spans="6:6">
      <c r="F929" s="6"/>
    </row>
    <row r="930" spans="6:6">
      <c r="F930" s="6"/>
    </row>
    <row r="931" spans="6:6">
      <c r="F931" s="6"/>
    </row>
    <row r="932" spans="6:6">
      <c r="F932" s="6"/>
    </row>
    <row r="933" spans="6:6">
      <c r="F933" s="6"/>
    </row>
    <row r="934" spans="6:6">
      <c r="F934" s="6"/>
    </row>
    <row r="935" spans="6:6">
      <c r="F935" s="6"/>
    </row>
    <row r="936" spans="6:6">
      <c r="F936" s="6"/>
    </row>
    <row r="937" spans="6:6">
      <c r="F937" s="6"/>
    </row>
    <row r="938" spans="6:6">
      <c r="F938" s="6"/>
    </row>
    <row r="939" spans="6:6">
      <c r="F939" s="6"/>
    </row>
    <row r="940" spans="6:6">
      <c r="F940" s="6"/>
    </row>
    <row r="941" spans="6:6">
      <c r="F941" s="6"/>
    </row>
    <row r="942" spans="6:6">
      <c r="F942" s="6"/>
    </row>
    <row r="943" spans="6:6">
      <c r="F943" s="6"/>
    </row>
    <row r="944" spans="6:6">
      <c r="F944" s="6"/>
    </row>
    <row r="945" spans="6:6">
      <c r="F945" s="6"/>
    </row>
    <row r="946" spans="6:6">
      <c r="F946" s="6"/>
    </row>
    <row r="947" spans="6:6">
      <c r="F947" s="6"/>
    </row>
    <row r="948" spans="6:6">
      <c r="F948" s="6"/>
    </row>
    <row r="949" spans="6:6">
      <c r="F949" s="6"/>
    </row>
    <row r="950" spans="6:6">
      <c r="F950" s="6"/>
    </row>
    <row r="951" spans="6:6">
      <c r="F951" s="6"/>
    </row>
    <row r="952" spans="6:6">
      <c r="F952" s="6"/>
    </row>
    <row r="953" spans="6:6">
      <c r="F953" s="6"/>
    </row>
    <row r="954" spans="6:6">
      <c r="F954" s="6"/>
    </row>
    <row r="955" spans="6:6">
      <c r="F955" s="6"/>
    </row>
    <row r="956" spans="6:6">
      <c r="F956" s="6"/>
    </row>
    <row r="957" spans="6:6">
      <c r="F957" s="6"/>
    </row>
    <row r="958" spans="6:6">
      <c r="F958" s="6"/>
    </row>
    <row r="959" spans="6:6">
      <c r="F959" s="6"/>
    </row>
    <row r="960" spans="6:6">
      <c r="F960" s="6"/>
    </row>
    <row r="961" spans="6:6">
      <c r="F961" s="6"/>
    </row>
    <row r="962" spans="6:6">
      <c r="F962" s="6"/>
    </row>
    <row r="963" spans="6:6">
      <c r="F963" s="6"/>
    </row>
    <row r="964" spans="6:6">
      <c r="F964" s="6"/>
    </row>
    <row r="965" spans="6:6">
      <c r="F965" s="6"/>
    </row>
    <row r="966" spans="6:6">
      <c r="F966" s="6"/>
    </row>
    <row r="967" spans="6:6">
      <c r="F967" s="6"/>
    </row>
    <row r="968" spans="6:6">
      <c r="F968" s="6"/>
    </row>
    <row r="969" spans="6:6">
      <c r="F969" s="6"/>
    </row>
    <row r="970" spans="6:6">
      <c r="F970" s="6"/>
    </row>
    <row r="971" spans="6:6">
      <c r="F971" s="6"/>
    </row>
    <row r="972" spans="6:6">
      <c r="F972" s="6"/>
    </row>
    <row r="973" spans="6:6">
      <c r="F973" s="6"/>
    </row>
    <row r="974" spans="6:6">
      <c r="F974" s="6"/>
    </row>
    <row r="975" spans="6:6">
      <c r="F975" s="6"/>
    </row>
    <row r="976" spans="6:6">
      <c r="F976" s="6"/>
    </row>
    <row r="977" spans="6:6">
      <c r="F977" s="6"/>
    </row>
    <row r="978" spans="6:6">
      <c r="F978" s="6"/>
    </row>
    <row r="979" spans="6:6">
      <c r="F979" s="6"/>
    </row>
    <row r="980" spans="6:6">
      <c r="F980" s="6"/>
    </row>
    <row r="981" spans="6:6">
      <c r="F981" s="6"/>
    </row>
    <row r="982" spans="6:6">
      <c r="F982" s="6"/>
    </row>
    <row r="983" spans="6:6">
      <c r="F983" s="6"/>
    </row>
    <row r="984" spans="6:6">
      <c r="F984" s="6"/>
    </row>
    <row r="985" spans="6:6">
      <c r="F985" s="6"/>
    </row>
    <row r="986" spans="6:6">
      <c r="F986" s="6"/>
    </row>
    <row r="987" spans="6:6">
      <c r="F987" s="6"/>
    </row>
    <row r="988" spans="6:6">
      <c r="F988" s="6"/>
    </row>
    <row r="989" spans="6:6">
      <c r="F989" s="6"/>
    </row>
    <row r="990" spans="6:6">
      <c r="F990" s="6"/>
    </row>
    <row r="991" spans="6:6">
      <c r="F991" s="6"/>
    </row>
    <row r="992" spans="6:6">
      <c r="F992" s="6"/>
    </row>
    <row r="993" spans="6:6">
      <c r="F993" s="6"/>
    </row>
    <row r="994" spans="6:6">
      <c r="F994" s="6"/>
    </row>
    <row r="995" spans="6:6">
      <c r="F995" s="6"/>
    </row>
    <row r="996" spans="6:6">
      <c r="F996" s="6"/>
    </row>
    <row r="997" spans="6:6">
      <c r="F997" s="6"/>
    </row>
    <row r="998" spans="6:6">
      <c r="F998" s="6"/>
    </row>
    <row r="999" spans="6:6">
      <c r="F999" s="6"/>
    </row>
    <row r="1000" spans="6:6">
      <c r="F1000" s="6"/>
    </row>
    <row r="1001" spans="6:6">
      <c r="F1001" s="6"/>
    </row>
    <row r="1002" spans="6:6">
      <c r="F1002" s="6"/>
    </row>
    <row r="1003" spans="6:6">
      <c r="F1003" s="6"/>
    </row>
    <row r="1004" spans="6:6">
      <c r="F1004" s="6"/>
    </row>
    <row r="1005" spans="6:6">
      <c r="F1005" s="6"/>
    </row>
    <row r="1006" spans="6:6">
      <c r="F1006" s="6"/>
    </row>
    <row r="1007" spans="6:6">
      <c r="F1007" s="6"/>
    </row>
  </sheetData>
  <mergeCells count="2">
    <mergeCell ref="A1:H1"/>
    <mergeCell ref="A2:H2"/>
  </mergeCells>
  <dataValidations count="2">
    <dataValidation type="list" allowBlank="1" showInputMessage="1" showErrorMessage="1" errorTitle="Use a controlled value" error="Select a value from the drop-down list." sqref="B6:B1007" xr:uid="{E64F8753-D87E-41FB-BC08-738938F19B76}">
      <formula1>CV_EntityType</formula1>
    </dataValidation>
    <dataValidation type="list" allowBlank="1" showInputMessage="1" showErrorMessage="1" errorTitle="Use a controlled value" error="Select a value from the drop-down list." sqref="D6:D1007" xr:uid="{8ED188D4-AF4D-460D-839E-3FB6FD320286}">
      <formula1>CV_ReviewDecision</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4EC7B-9496-46AC-B73F-87317FEC1663}">
  <dimension ref="A1:P14"/>
  <sheetViews>
    <sheetView topLeftCell="M1" workbookViewId="0">
      <selection activeCell="B19" sqref="B19"/>
    </sheetView>
  </sheetViews>
  <sheetFormatPr defaultRowHeight="14.4"/>
  <cols>
    <col min="1" max="1" width="15" bestFit="1" customWidth="1"/>
    <col min="2" max="2" width="17.5546875" bestFit="1" customWidth="1"/>
    <col min="3" max="3" width="29.6640625" bestFit="1" customWidth="1"/>
    <col min="4" max="4" width="29.33203125" bestFit="1" customWidth="1"/>
    <col min="5" max="5" width="18.88671875" bestFit="1" customWidth="1"/>
    <col min="6" max="6" width="26.5546875" bestFit="1" customWidth="1"/>
    <col min="7" max="7" width="8.5546875" bestFit="1" customWidth="1"/>
    <col min="8" max="8" width="16.44140625" bestFit="1" customWidth="1"/>
    <col min="9" max="9" width="14.88671875" bestFit="1" customWidth="1"/>
    <col min="10" max="10" width="17.88671875" bestFit="1" customWidth="1"/>
    <col min="11" max="11" width="17.109375" bestFit="1" customWidth="1"/>
    <col min="12" max="12" width="14.6640625" bestFit="1" customWidth="1"/>
    <col min="13" max="13" width="18.109375" bestFit="1" customWidth="1"/>
    <col min="14" max="14" width="17.5546875" bestFit="1" customWidth="1"/>
    <col min="15" max="15" width="21.44140625" bestFit="1" customWidth="1"/>
    <col min="16" max="16" width="13.6640625" bestFit="1" customWidth="1"/>
  </cols>
  <sheetData>
    <row r="1" spans="1:16" ht="30" customHeight="1">
      <c r="A1" s="46" t="s">
        <v>71</v>
      </c>
      <c r="B1" s="46"/>
      <c r="C1" s="46"/>
      <c r="D1" s="46"/>
      <c r="E1" s="46"/>
      <c r="F1" s="46"/>
      <c r="G1" s="46"/>
      <c r="H1" s="46"/>
      <c r="I1" s="46"/>
      <c r="J1" s="46"/>
      <c r="K1" s="46"/>
      <c r="L1" s="46"/>
      <c r="M1" s="46"/>
      <c r="N1" s="46"/>
      <c r="O1" s="46"/>
      <c r="P1" s="46"/>
    </row>
    <row r="2" spans="1:16">
      <c r="A2" s="48" t="s">
        <v>1884</v>
      </c>
      <c r="B2" s="48"/>
      <c r="C2" s="48"/>
      <c r="D2" s="48"/>
      <c r="E2" s="48"/>
      <c r="F2" s="48"/>
      <c r="G2" s="48"/>
      <c r="H2" s="48"/>
      <c r="I2" s="48"/>
      <c r="J2" s="48"/>
      <c r="K2" s="48"/>
      <c r="L2" s="48"/>
      <c r="M2" s="48"/>
      <c r="N2" s="48"/>
      <c r="O2" s="48"/>
      <c r="P2" s="48"/>
    </row>
    <row r="4" spans="1:16" ht="42" customHeight="1">
      <c r="A4" s="2" t="s">
        <v>206</v>
      </c>
      <c r="B4" s="2" t="s">
        <v>26</v>
      </c>
      <c r="C4" s="2" t="s">
        <v>1885</v>
      </c>
      <c r="D4" s="2" t="s">
        <v>1886</v>
      </c>
      <c r="E4" s="2" t="s">
        <v>1887</v>
      </c>
      <c r="F4" s="2" t="s">
        <v>1181</v>
      </c>
      <c r="G4" s="2" t="s">
        <v>1888</v>
      </c>
      <c r="H4" s="2" t="s">
        <v>1889</v>
      </c>
      <c r="I4" s="2" t="s">
        <v>24</v>
      </c>
      <c r="J4" s="2" t="s">
        <v>1890</v>
      </c>
      <c r="K4" s="2" t="s">
        <v>1866</v>
      </c>
      <c r="L4" s="2" t="s">
        <v>1891</v>
      </c>
      <c r="M4" s="2" t="s">
        <v>1860</v>
      </c>
      <c r="N4" s="2" t="s">
        <v>1892</v>
      </c>
      <c r="O4" s="2" t="s">
        <v>1855</v>
      </c>
      <c r="P4" s="2" t="s">
        <v>1893</v>
      </c>
    </row>
    <row r="5" spans="1:16">
      <c r="A5" t="s">
        <v>462</v>
      </c>
      <c r="B5" t="s">
        <v>226</v>
      </c>
      <c r="C5" t="s">
        <v>1894</v>
      </c>
      <c r="D5" t="s">
        <v>1528</v>
      </c>
      <c r="E5" t="s">
        <v>1619</v>
      </c>
      <c r="F5" t="s">
        <v>1188</v>
      </c>
      <c r="G5" t="s">
        <v>1099</v>
      </c>
      <c r="H5" t="s">
        <v>1895</v>
      </c>
      <c r="I5" t="s">
        <v>1896</v>
      </c>
      <c r="J5" t="s">
        <v>579</v>
      </c>
      <c r="K5" t="s">
        <v>1897</v>
      </c>
      <c r="L5" t="s">
        <v>225</v>
      </c>
      <c r="M5" t="s">
        <v>1898</v>
      </c>
      <c r="N5" t="s">
        <v>1101</v>
      </c>
      <c r="O5" t="s">
        <v>1899</v>
      </c>
      <c r="P5" t="s">
        <v>1900</v>
      </c>
    </row>
    <row r="6" spans="1:16">
      <c r="A6" t="s">
        <v>537</v>
      </c>
      <c r="B6" t="s">
        <v>1901</v>
      </c>
      <c r="C6" t="s">
        <v>1902</v>
      </c>
      <c r="D6" t="s">
        <v>1541</v>
      </c>
      <c r="E6" t="s">
        <v>1541</v>
      </c>
      <c r="F6" t="s">
        <v>1465</v>
      </c>
      <c r="G6" t="s">
        <v>1903</v>
      </c>
      <c r="H6" t="s">
        <v>1097</v>
      </c>
      <c r="I6" t="s">
        <v>1110</v>
      </c>
      <c r="J6" t="s">
        <v>537</v>
      </c>
      <c r="K6" t="s">
        <v>1904</v>
      </c>
      <c r="L6" t="s">
        <v>1905</v>
      </c>
      <c r="M6" t="s">
        <v>1906</v>
      </c>
      <c r="N6" t="s">
        <v>1907</v>
      </c>
      <c r="O6" t="s">
        <v>1908</v>
      </c>
      <c r="P6" t="s">
        <v>1909</v>
      </c>
    </row>
    <row r="7" spans="1:16">
      <c r="A7" t="s">
        <v>579</v>
      </c>
      <c r="B7" t="s">
        <v>1910</v>
      </c>
      <c r="C7" t="s">
        <v>1911</v>
      </c>
      <c r="D7" t="s">
        <v>1537</v>
      </c>
      <c r="E7" t="s">
        <v>1912</v>
      </c>
      <c r="F7" t="s">
        <v>1913</v>
      </c>
      <c r="H7" t="s">
        <v>1110</v>
      </c>
      <c r="I7" t="s">
        <v>1914</v>
      </c>
      <c r="J7" t="s">
        <v>462</v>
      </c>
      <c r="K7" t="s">
        <v>1915</v>
      </c>
      <c r="M7" t="s">
        <v>1916</v>
      </c>
      <c r="N7" t="s">
        <v>1910</v>
      </c>
      <c r="P7" t="s">
        <v>1917</v>
      </c>
    </row>
    <row r="8" spans="1:16">
      <c r="B8" t="s">
        <v>1101</v>
      </c>
      <c r="C8" t="s">
        <v>1918</v>
      </c>
      <c r="D8" t="s">
        <v>1919</v>
      </c>
      <c r="E8" t="s">
        <v>1802</v>
      </c>
      <c r="H8" t="s">
        <v>1920</v>
      </c>
      <c r="J8" t="s">
        <v>1921</v>
      </c>
      <c r="K8" t="s">
        <v>1922</v>
      </c>
      <c r="M8" t="s">
        <v>1923</v>
      </c>
      <c r="N8" t="s">
        <v>1924</v>
      </c>
      <c r="P8" t="s">
        <v>1925</v>
      </c>
    </row>
    <row r="9" spans="1:16">
      <c r="B9" t="s">
        <v>1907</v>
      </c>
      <c r="C9" t="s">
        <v>1065</v>
      </c>
      <c r="D9" t="s">
        <v>1530</v>
      </c>
      <c r="E9" t="s">
        <v>1926</v>
      </c>
      <c r="H9" t="s">
        <v>1927</v>
      </c>
      <c r="M9" t="s">
        <v>1928</v>
      </c>
    </row>
    <row r="10" spans="1:16">
      <c r="C10" t="s">
        <v>1929</v>
      </c>
      <c r="E10" t="s">
        <v>1065</v>
      </c>
      <c r="H10" t="s">
        <v>1930</v>
      </c>
      <c r="M10" t="s">
        <v>1872</v>
      </c>
    </row>
    <row r="11" spans="1:16">
      <c r="H11" t="s">
        <v>1065</v>
      </c>
      <c r="M11" t="s">
        <v>1931</v>
      </c>
    </row>
    <row r="12" spans="1:16">
      <c r="M12" t="s">
        <v>1932</v>
      </c>
    </row>
    <row r="13" spans="1:16">
      <c r="M13" t="s">
        <v>1933</v>
      </c>
    </row>
    <row r="14" spans="1:16">
      <c r="M14" t="s">
        <v>1934</v>
      </c>
    </row>
  </sheetData>
  <mergeCells count="2">
    <mergeCell ref="A1:P1"/>
    <mergeCell ref="A2:P2"/>
  </mergeCell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90739-90BB-4445-802C-ADA281F5C07D}">
  <dimension ref="A1:R66"/>
  <sheetViews>
    <sheetView workbookViewId="0">
      <selection activeCell="F7" sqref="F7"/>
    </sheetView>
  </sheetViews>
  <sheetFormatPr defaultRowHeight="14.4"/>
  <cols>
    <col min="1" max="1" width="17.109375" customWidth="1"/>
    <col min="2" max="2" width="16.109375" customWidth="1"/>
    <col min="3" max="3" width="21" customWidth="1"/>
    <col min="4" max="4" width="28.5546875" customWidth="1"/>
    <col min="5" max="5" width="38.109375" customWidth="1"/>
    <col min="6" max="6" width="21.88671875" customWidth="1"/>
    <col min="7" max="7" width="32.44140625" customWidth="1"/>
    <col min="8" max="8" width="45.6640625" customWidth="1"/>
    <col min="9" max="9" width="28.5546875" customWidth="1"/>
    <col min="10" max="10" width="14.33203125" customWidth="1"/>
    <col min="11" max="11" width="21.88671875" customWidth="1"/>
    <col min="12" max="12" width="14.33203125" customWidth="1"/>
    <col min="13" max="13" width="38.109375" customWidth="1"/>
    <col min="14" max="14" width="16.109375" customWidth="1"/>
    <col min="15" max="15" width="38.109375" customWidth="1"/>
    <col min="16" max="18" width="23.88671875" customWidth="1"/>
  </cols>
  <sheetData>
    <row r="1" spans="1:18" ht="30" customHeight="1">
      <c r="A1" s="46" t="s">
        <v>1935</v>
      </c>
      <c r="B1" s="46"/>
      <c r="C1" s="46"/>
      <c r="D1" s="46"/>
      <c r="E1" s="46"/>
      <c r="F1" s="46"/>
      <c r="G1" s="46"/>
      <c r="H1" s="46"/>
      <c r="I1" s="46"/>
      <c r="J1" s="46"/>
      <c r="K1" s="46"/>
      <c r="L1" s="46"/>
      <c r="M1" s="46"/>
      <c r="N1" s="46"/>
    </row>
    <row r="2" spans="1:18" ht="32.25" customHeight="1">
      <c r="A2" s="52" t="s">
        <v>1936</v>
      </c>
      <c r="B2" s="52"/>
      <c r="C2" s="52"/>
      <c r="D2" s="52"/>
      <c r="E2" s="52"/>
      <c r="F2" s="52"/>
      <c r="G2" s="52"/>
      <c r="H2" s="52"/>
      <c r="I2" s="52"/>
      <c r="J2" s="52"/>
      <c r="K2" s="52"/>
      <c r="L2" s="52"/>
      <c r="M2" s="52"/>
      <c r="N2" s="52"/>
    </row>
    <row r="4" spans="1:18" ht="24" customHeight="1">
      <c r="A4" s="53" t="s">
        <v>1937</v>
      </c>
      <c r="B4" s="53"/>
      <c r="C4" s="53"/>
      <c r="D4" s="53"/>
      <c r="E4" s="53"/>
      <c r="F4" s="53"/>
      <c r="G4" s="53"/>
      <c r="H4" s="53"/>
      <c r="I4" s="53"/>
      <c r="J4" s="53"/>
      <c r="K4" s="53"/>
      <c r="L4" s="53"/>
      <c r="M4" s="53"/>
      <c r="N4" s="53"/>
    </row>
    <row r="5" spans="1:18" ht="32.25" customHeight="1">
      <c r="A5" s="9" t="s">
        <v>1938</v>
      </c>
      <c r="B5" s="9" t="s">
        <v>1173</v>
      </c>
      <c r="C5" s="9" t="s">
        <v>1174</v>
      </c>
      <c r="D5" s="9" t="s">
        <v>1175</v>
      </c>
      <c r="E5" s="9" t="s">
        <v>1176</v>
      </c>
      <c r="F5" s="9" t="s">
        <v>1939</v>
      </c>
      <c r="G5" s="9" t="s">
        <v>1177</v>
      </c>
      <c r="H5" s="9" t="s">
        <v>1178</v>
      </c>
      <c r="I5" s="9" t="s">
        <v>1179</v>
      </c>
      <c r="J5" s="9" t="s">
        <v>1180</v>
      </c>
      <c r="K5" s="9" t="s">
        <v>1181</v>
      </c>
      <c r="L5" s="9" t="s">
        <v>206</v>
      </c>
      <c r="M5" s="9" t="s">
        <v>207</v>
      </c>
      <c r="N5" s="9" t="s">
        <v>1940</v>
      </c>
      <c r="O5" s="9" t="s">
        <v>1941</v>
      </c>
      <c r="P5" s="9" t="s">
        <v>1942</v>
      </c>
      <c r="Q5" s="9" t="s">
        <v>1943</v>
      </c>
      <c r="R5" s="9" t="s">
        <v>1944</v>
      </c>
    </row>
    <row r="6" spans="1:18" ht="115.2">
      <c r="A6" s="10" t="s">
        <v>1945</v>
      </c>
      <c r="B6" s="10" t="s">
        <v>455</v>
      </c>
      <c r="C6" s="10" t="s">
        <v>456</v>
      </c>
      <c r="D6" s="11" t="s">
        <v>1183</v>
      </c>
      <c r="E6" s="11" t="s">
        <v>1184</v>
      </c>
      <c r="F6" s="11" t="s">
        <v>1528</v>
      </c>
      <c r="G6" s="11" t="s">
        <v>1185</v>
      </c>
      <c r="H6" s="11" t="s">
        <v>1186</v>
      </c>
      <c r="I6" s="11" t="s">
        <v>1187</v>
      </c>
      <c r="J6" s="10"/>
      <c r="K6" s="11" t="s">
        <v>1188</v>
      </c>
      <c r="L6" s="11" t="s">
        <v>462</v>
      </c>
      <c r="M6" s="11" t="s">
        <v>1189</v>
      </c>
      <c r="N6" s="11" t="s">
        <v>1946</v>
      </c>
      <c r="O6" s="11"/>
      <c r="P6" s="11" t="s">
        <v>1947</v>
      </c>
      <c r="Q6" s="11" t="s">
        <v>1182</v>
      </c>
      <c r="R6" s="12" t="s">
        <v>1903</v>
      </c>
    </row>
    <row r="7" spans="1:18" ht="57.6">
      <c r="A7" s="10" t="s">
        <v>1948</v>
      </c>
      <c r="B7" s="10" t="s">
        <v>455</v>
      </c>
      <c r="C7" s="10" t="s">
        <v>456</v>
      </c>
      <c r="D7" s="11" t="s">
        <v>1191</v>
      </c>
      <c r="E7" s="11" t="s">
        <v>1192</v>
      </c>
      <c r="F7" s="11" t="s">
        <v>1530</v>
      </c>
      <c r="G7" s="11" t="s">
        <v>1193</v>
      </c>
      <c r="H7" s="11" t="s">
        <v>1194</v>
      </c>
      <c r="I7" s="11" t="s">
        <v>1187</v>
      </c>
      <c r="J7" s="10"/>
      <c r="K7" s="11" t="s">
        <v>1188</v>
      </c>
      <c r="L7" s="11" t="s">
        <v>537</v>
      </c>
      <c r="M7" s="11" t="s">
        <v>1195</v>
      </c>
      <c r="N7" s="11" t="s">
        <v>1946</v>
      </c>
      <c r="O7" s="11"/>
      <c r="P7" s="11" t="s">
        <v>1947</v>
      </c>
      <c r="Q7" s="11" t="s">
        <v>1190</v>
      </c>
      <c r="R7" s="12" t="s">
        <v>1903</v>
      </c>
    </row>
    <row r="8" spans="1:18" ht="100.8">
      <c r="A8" s="10" t="s">
        <v>1949</v>
      </c>
      <c r="B8" s="10" t="s">
        <v>490</v>
      </c>
      <c r="C8" s="10" t="s">
        <v>491</v>
      </c>
      <c r="D8" s="11" t="s">
        <v>1197</v>
      </c>
      <c r="E8" s="11" t="s">
        <v>1198</v>
      </c>
      <c r="F8" s="11" t="s">
        <v>1528</v>
      </c>
      <c r="G8" s="11" t="s">
        <v>1199</v>
      </c>
      <c r="H8" s="11" t="s">
        <v>1200</v>
      </c>
      <c r="I8" s="11" t="s">
        <v>1201</v>
      </c>
      <c r="J8" s="10"/>
      <c r="K8" s="11" t="s">
        <v>1188</v>
      </c>
      <c r="L8" s="11" t="s">
        <v>462</v>
      </c>
      <c r="M8" s="11" t="s">
        <v>1202</v>
      </c>
      <c r="N8" s="11" t="s">
        <v>1946</v>
      </c>
      <c r="O8" s="11"/>
      <c r="P8" s="11" t="s">
        <v>1947</v>
      </c>
      <c r="Q8" s="11" t="s">
        <v>1196</v>
      </c>
      <c r="R8" s="12" t="s">
        <v>1903</v>
      </c>
    </row>
    <row r="9" spans="1:18" ht="57.6">
      <c r="A9" s="10" t="s">
        <v>1950</v>
      </c>
      <c r="B9" s="10" t="s">
        <v>490</v>
      </c>
      <c r="C9" s="10" t="s">
        <v>491</v>
      </c>
      <c r="D9" s="11" t="s">
        <v>1204</v>
      </c>
      <c r="E9" s="11" t="s">
        <v>1205</v>
      </c>
      <c r="F9" s="11" t="s">
        <v>1530</v>
      </c>
      <c r="G9" s="11" t="s">
        <v>1206</v>
      </c>
      <c r="H9" s="11" t="s">
        <v>1207</v>
      </c>
      <c r="I9" s="11" t="s">
        <v>1201</v>
      </c>
      <c r="J9" s="10"/>
      <c r="K9" s="11" t="s">
        <v>1188</v>
      </c>
      <c r="L9" s="11" t="s">
        <v>537</v>
      </c>
      <c r="M9" s="11" t="s">
        <v>1208</v>
      </c>
      <c r="N9" s="11" t="s">
        <v>1946</v>
      </c>
      <c r="O9" s="11"/>
      <c r="P9" s="11" t="s">
        <v>1947</v>
      </c>
      <c r="Q9" s="11" t="s">
        <v>1203</v>
      </c>
      <c r="R9" s="12" t="s">
        <v>1903</v>
      </c>
    </row>
    <row r="10" spans="1:18" ht="72">
      <c r="A10" s="10" t="s">
        <v>1951</v>
      </c>
      <c r="B10" s="10" t="s">
        <v>512</v>
      </c>
      <c r="C10" s="10" t="s">
        <v>513</v>
      </c>
      <c r="D10" s="11" t="s">
        <v>1210</v>
      </c>
      <c r="E10" s="11" t="s">
        <v>1211</v>
      </c>
      <c r="F10" s="11" t="s">
        <v>1528</v>
      </c>
      <c r="G10" s="11" t="s">
        <v>1212</v>
      </c>
      <c r="H10" s="11" t="s">
        <v>1213</v>
      </c>
      <c r="I10" s="11" t="s">
        <v>1201</v>
      </c>
      <c r="J10" s="10"/>
      <c r="K10" s="11" t="s">
        <v>1188</v>
      </c>
      <c r="L10" s="11" t="s">
        <v>462</v>
      </c>
      <c r="M10" s="11" t="s">
        <v>1214</v>
      </c>
      <c r="N10" s="11" t="s">
        <v>1946</v>
      </c>
      <c r="O10" s="11"/>
      <c r="P10" s="11" t="s">
        <v>1947</v>
      </c>
      <c r="Q10" s="11" t="s">
        <v>1209</v>
      </c>
      <c r="R10" s="12" t="s">
        <v>1903</v>
      </c>
    </row>
    <row r="11" spans="1:18" ht="72">
      <c r="A11" s="10" t="s">
        <v>1952</v>
      </c>
      <c r="B11" s="10" t="s">
        <v>512</v>
      </c>
      <c r="C11" s="10" t="s">
        <v>513</v>
      </c>
      <c r="D11" s="11" t="s">
        <v>1216</v>
      </c>
      <c r="E11" s="11" t="s">
        <v>1217</v>
      </c>
      <c r="F11" s="11" t="s">
        <v>1530</v>
      </c>
      <c r="G11" s="11" t="s">
        <v>1206</v>
      </c>
      <c r="H11" s="11" t="s">
        <v>1218</v>
      </c>
      <c r="I11" s="11" t="s">
        <v>1187</v>
      </c>
      <c r="J11" s="10"/>
      <c r="K11" s="11" t="s">
        <v>1188</v>
      </c>
      <c r="L11" s="11" t="s">
        <v>537</v>
      </c>
      <c r="M11" s="11" t="s">
        <v>1219</v>
      </c>
      <c r="N11" s="11" t="s">
        <v>1946</v>
      </c>
      <c r="O11" s="11"/>
      <c r="P11" s="11" t="s">
        <v>1947</v>
      </c>
      <c r="Q11" s="11" t="s">
        <v>1215</v>
      </c>
      <c r="R11" s="12" t="s">
        <v>1903</v>
      </c>
    </row>
    <row r="12" spans="1:18" ht="86.4">
      <c r="A12" s="10" t="s">
        <v>1953</v>
      </c>
      <c r="B12" s="10" t="s">
        <v>533</v>
      </c>
      <c r="C12" s="10" t="s">
        <v>534</v>
      </c>
      <c r="D12" s="11" t="s">
        <v>1221</v>
      </c>
      <c r="E12" s="11" t="s">
        <v>1222</v>
      </c>
      <c r="F12" s="11" t="s">
        <v>1528</v>
      </c>
      <c r="G12" s="11" t="s">
        <v>1185</v>
      </c>
      <c r="H12" s="11" t="s">
        <v>1223</v>
      </c>
      <c r="I12" s="11" t="s">
        <v>1201</v>
      </c>
      <c r="J12" s="10"/>
      <c r="K12" s="11" t="s">
        <v>1188</v>
      </c>
      <c r="L12" s="11" t="s">
        <v>462</v>
      </c>
      <c r="M12" s="11" t="s">
        <v>1224</v>
      </c>
      <c r="N12" s="11" t="s">
        <v>1946</v>
      </c>
      <c r="O12" s="11"/>
      <c r="P12" s="11" t="s">
        <v>1947</v>
      </c>
      <c r="Q12" s="11" t="s">
        <v>1220</v>
      </c>
      <c r="R12" s="12" t="s">
        <v>1903</v>
      </c>
    </row>
    <row r="13" spans="1:18" ht="72">
      <c r="A13" s="10" t="s">
        <v>1954</v>
      </c>
      <c r="B13" s="10" t="s">
        <v>533</v>
      </c>
      <c r="C13" s="10" t="s">
        <v>534</v>
      </c>
      <c r="D13" s="11" t="s">
        <v>1226</v>
      </c>
      <c r="E13" s="11" t="s">
        <v>1227</v>
      </c>
      <c r="F13" s="11" t="s">
        <v>1537</v>
      </c>
      <c r="G13" s="11" t="s">
        <v>1228</v>
      </c>
      <c r="H13" s="11" t="s">
        <v>1229</v>
      </c>
      <c r="I13" s="11" t="s">
        <v>1201</v>
      </c>
      <c r="J13" s="10"/>
      <c r="K13" s="11" t="s">
        <v>1188</v>
      </c>
      <c r="L13" s="11" t="s">
        <v>462</v>
      </c>
      <c r="M13" s="11" t="s">
        <v>1230</v>
      </c>
      <c r="N13" s="11" t="s">
        <v>1946</v>
      </c>
      <c r="O13" s="11"/>
      <c r="P13" s="11" t="s">
        <v>1947</v>
      </c>
      <c r="Q13" s="11" t="s">
        <v>1225</v>
      </c>
      <c r="R13" s="12" t="s">
        <v>1903</v>
      </c>
    </row>
    <row r="14" spans="1:18" ht="100.8">
      <c r="A14" s="10" t="s">
        <v>1955</v>
      </c>
      <c r="B14" s="10" t="s">
        <v>533</v>
      </c>
      <c r="C14" s="10" t="s">
        <v>534</v>
      </c>
      <c r="D14" s="11" t="s">
        <v>1232</v>
      </c>
      <c r="E14" s="11" t="s">
        <v>1233</v>
      </c>
      <c r="F14" s="11" t="s">
        <v>1530</v>
      </c>
      <c r="G14" s="11" t="s">
        <v>1206</v>
      </c>
      <c r="H14" s="11" t="s">
        <v>1234</v>
      </c>
      <c r="I14" s="11" t="s">
        <v>1187</v>
      </c>
      <c r="J14" s="10"/>
      <c r="K14" s="11" t="s">
        <v>1188</v>
      </c>
      <c r="L14" s="11" t="s">
        <v>537</v>
      </c>
      <c r="M14" s="11" t="s">
        <v>1235</v>
      </c>
      <c r="N14" s="11" t="s">
        <v>1946</v>
      </c>
      <c r="O14" s="11"/>
      <c r="P14" s="11" t="s">
        <v>1947</v>
      </c>
      <c r="Q14" s="11" t="s">
        <v>1231</v>
      </c>
      <c r="R14" s="12" t="s">
        <v>1903</v>
      </c>
    </row>
    <row r="15" spans="1:18" ht="86.4">
      <c r="A15" s="10" t="s">
        <v>1956</v>
      </c>
      <c r="B15" s="10" t="s">
        <v>556</v>
      </c>
      <c r="C15" s="10" t="s">
        <v>557</v>
      </c>
      <c r="D15" s="11" t="s">
        <v>1237</v>
      </c>
      <c r="E15" s="11" t="s">
        <v>1238</v>
      </c>
      <c r="F15" s="11" t="s">
        <v>1528</v>
      </c>
      <c r="G15" s="11" t="s">
        <v>1185</v>
      </c>
      <c r="H15" s="11" t="s">
        <v>1239</v>
      </c>
      <c r="I15" s="11" t="s">
        <v>1201</v>
      </c>
      <c r="J15" s="10"/>
      <c r="K15" s="11" t="s">
        <v>1188</v>
      </c>
      <c r="L15" s="11" t="s">
        <v>462</v>
      </c>
      <c r="M15" s="11" t="s">
        <v>1240</v>
      </c>
      <c r="N15" s="11" t="s">
        <v>1946</v>
      </c>
      <c r="O15" s="11"/>
      <c r="P15" s="11" t="s">
        <v>1947</v>
      </c>
      <c r="Q15" s="11" t="s">
        <v>1236</v>
      </c>
      <c r="R15" s="12" t="s">
        <v>1903</v>
      </c>
    </row>
    <row r="16" spans="1:18" ht="86.4">
      <c r="A16" s="10" t="s">
        <v>1957</v>
      </c>
      <c r="B16" s="10" t="s">
        <v>556</v>
      </c>
      <c r="C16" s="10" t="s">
        <v>557</v>
      </c>
      <c r="D16" s="11" t="s">
        <v>1242</v>
      </c>
      <c r="E16" s="11" t="s">
        <v>1243</v>
      </c>
      <c r="F16" s="11" t="s">
        <v>1541</v>
      </c>
      <c r="G16" s="11" t="s">
        <v>1244</v>
      </c>
      <c r="H16" s="11" t="s">
        <v>1245</v>
      </c>
      <c r="I16" s="11" t="s">
        <v>1201</v>
      </c>
      <c r="J16" s="10"/>
      <c r="K16" s="11" t="s">
        <v>1188</v>
      </c>
      <c r="L16" s="11" t="s">
        <v>462</v>
      </c>
      <c r="M16" s="11" t="s">
        <v>1246</v>
      </c>
      <c r="N16" s="11" t="s">
        <v>1946</v>
      </c>
      <c r="O16" s="11"/>
      <c r="P16" s="11" t="s">
        <v>1947</v>
      </c>
      <c r="Q16" s="11" t="s">
        <v>1241</v>
      </c>
      <c r="R16" s="12" t="s">
        <v>1903</v>
      </c>
    </row>
    <row r="17" spans="1:18" ht="72">
      <c r="A17" s="10" t="s">
        <v>1958</v>
      </c>
      <c r="B17" s="10" t="s">
        <v>556</v>
      </c>
      <c r="C17" s="10" t="s">
        <v>557</v>
      </c>
      <c r="D17" s="11" t="s">
        <v>1248</v>
      </c>
      <c r="E17" s="11" t="s">
        <v>1249</v>
      </c>
      <c r="F17" s="11" t="s">
        <v>1541</v>
      </c>
      <c r="G17" s="11" t="s">
        <v>1250</v>
      </c>
      <c r="H17" s="11" t="s">
        <v>1251</v>
      </c>
      <c r="I17" s="11" t="s">
        <v>1201</v>
      </c>
      <c r="J17" s="10"/>
      <c r="K17" s="11" t="s">
        <v>1188</v>
      </c>
      <c r="L17" s="11" t="s">
        <v>537</v>
      </c>
      <c r="M17" s="11" t="s">
        <v>1252</v>
      </c>
      <c r="N17" s="11" t="s">
        <v>1946</v>
      </c>
      <c r="O17" s="11"/>
      <c r="P17" s="11" t="s">
        <v>1947</v>
      </c>
      <c r="Q17" s="11" t="s">
        <v>1247</v>
      </c>
      <c r="R17" s="12" t="s">
        <v>1903</v>
      </c>
    </row>
    <row r="18" spans="1:18" ht="86.4">
      <c r="A18" s="10" t="s">
        <v>1959</v>
      </c>
      <c r="B18" s="10" t="s">
        <v>575</v>
      </c>
      <c r="C18" s="10" t="s">
        <v>576</v>
      </c>
      <c r="D18" s="11" t="s">
        <v>1254</v>
      </c>
      <c r="E18" s="11" t="s">
        <v>1255</v>
      </c>
      <c r="F18" s="11" t="s">
        <v>1541</v>
      </c>
      <c r="G18" s="11" t="s">
        <v>1256</v>
      </c>
      <c r="H18" s="11" t="s">
        <v>1257</v>
      </c>
      <c r="I18" s="11" t="s">
        <v>1201</v>
      </c>
      <c r="J18" s="10"/>
      <c r="K18" s="11" t="s">
        <v>1188</v>
      </c>
      <c r="L18" s="11" t="s">
        <v>462</v>
      </c>
      <c r="M18" s="11" t="s">
        <v>1258</v>
      </c>
      <c r="N18" s="11" t="s">
        <v>1946</v>
      </c>
      <c r="O18" s="11"/>
      <c r="P18" s="11" t="s">
        <v>1947</v>
      </c>
      <c r="Q18" s="11" t="s">
        <v>1253</v>
      </c>
      <c r="R18" s="12" t="s">
        <v>1903</v>
      </c>
    </row>
    <row r="19" spans="1:18" ht="57.6">
      <c r="A19" s="10" t="s">
        <v>1960</v>
      </c>
      <c r="B19" s="10" t="s">
        <v>575</v>
      </c>
      <c r="C19" s="10" t="s">
        <v>576</v>
      </c>
      <c r="D19" s="11" t="s">
        <v>1260</v>
      </c>
      <c r="E19" s="11" t="s">
        <v>1261</v>
      </c>
      <c r="F19" s="11" t="s">
        <v>1530</v>
      </c>
      <c r="G19" s="11" t="s">
        <v>1250</v>
      </c>
      <c r="H19" s="11" t="s">
        <v>1262</v>
      </c>
      <c r="I19" s="11" t="s">
        <v>1201</v>
      </c>
      <c r="J19" s="10"/>
      <c r="K19" s="11" t="s">
        <v>1188</v>
      </c>
      <c r="L19" s="11" t="s">
        <v>537</v>
      </c>
      <c r="M19" s="11" t="s">
        <v>1263</v>
      </c>
      <c r="N19" s="11" t="s">
        <v>1946</v>
      </c>
      <c r="O19" s="11"/>
      <c r="P19" s="11" t="s">
        <v>1947</v>
      </c>
      <c r="Q19" s="11" t="s">
        <v>1259</v>
      </c>
      <c r="R19" s="12" t="s">
        <v>1903</v>
      </c>
    </row>
    <row r="20" spans="1:18" ht="86.4">
      <c r="A20" s="10" t="s">
        <v>1961</v>
      </c>
      <c r="B20" s="10" t="s">
        <v>597</v>
      </c>
      <c r="C20" s="10" t="s">
        <v>598</v>
      </c>
      <c r="D20" s="11" t="s">
        <v>1265</v>
      </c>
      <c r="E20" s="11" t="s">
        <v>1266</v>
      </c>
      <c r="F20" s="11" t="s">
        <v>1528</v>
      </c>
      <c r="G20" s="11" t="s">
        <v>1185</v>
      </c>
      <c r="H20" s="11" t="s">
        <v>1267</v>
      </c>
      <c r="I20" s="11" t="s">
        <v>1187</v>
      </c>
      <c r="J20" s="10"/>
      <c r="K20" s="11" t="s">
        <v>1188</v>
      </c>
      <c r="L20" s="11" t="s">
        <v>462</v>
      </c>
      <c r="M20" s="11" t="s">
        <v>1268</v>
      </c>
      <c r="N20" s="11" t="s">
        <v>1946</v>
      </c>
      <c r="O20" s="11"/>
      <c r="P20" s="11" t="s">
        <v>1947</v>
      </c>
      <c r="Q20" s="11" t="s">
        <v>1264</v>
      </c>
      <c r="R20" s="12" t="s">
        <v>1903</v>
      </c>
    </row>
    <row r="21" spans="1:18" ht="86.4">
      <c r="A21" s="10" t="s">
        <v>1962</v>
      </c>
      <c r="B21" s="10" t="s">
        <v>597</v>
      </c>
      <c r="C21" s="10" t="s">
        <v>598</v>
      </c>
      <c r="D21" s="11" t="s">
        <v>1270</v>
      </c>
      <c r="E21" s="11" t="s">
        <v>1271</v>
      </c>
      <c r="F21" s="11" t="s">
        <v>1530</v>
      </c>
      <c r="G21" s="11" t="s">
        <v>1272</v>
      </c>
      <c r="H21" s="11" t="s">
        <v>1273</v>
      </c>
      <c r="I21" s="11" t="s">
        <v>1201</v>
      </c>
      <c r="J21" s="10"/>
      <c r="K21" s="11" t="s">
        <v>1188</v>
      </c>
      <c r="L21" s="11" t="s">
        <v>462</v>
      </c>
      <c r="M21" s="11" t="s">
        <v>1274</v>
      </c>
      <c r="N21" s="11" t="s">
        <v>1946</v>
      </c>
      <c r="O21" s="11"/>
      <c r="P21" s="11" t="s">
        <v>1947</v>
      </c>
      <c r="Q21" s="11" t="s">
        <v>1269</v>
      </c>
      <c r="R21" s="12" t="s">
        <v>1903</v>
      </c>
    </row>
    <row r="22" spans="1:18" ht="57.6">
      <c r="A22" s="10" t="s">
        <v>1963</v>
      </c>
      <c r="B22" s="10" t="s">
        <v>597</v>
      </c>
      <c r="C22" s="10" t="s">
        <v>598</v>
      </c>
      <c r="D22" s="11" t="s">
        <v>1276</v>
      </c>
      <c r="E22" s="11" t="s">
        <v>1277</v>
      </c>
      <c r="F22" s="11" t="s">
        <v>1530</v>
      </c>
      <c r="G22" s="11" t="s">
        <v>1278</v>
      </c>
      <c r="H22" s="11" t="s">
        <v>1279</v>
      </c>
      <c r="I22" s="11" t="s">
        <v>1187</v>
      </c>
      <c r="J22" s="10"/>
      <c r="K22" s="11" t="s">
        <v>1188</v>
      </c>
      <c r="L22" s="11" t="s">
        <v>537</v>
      </c>
      <c r="M22" s="11" t="s">
        <v>1280</v>
      </c>
      <c r="N22" s="11" t="s">
        <v>1946</v>
      </c>
      <c r="O22" s="11"/>
      <c r="P22" s="11" t="s">
        <v>1947</v>
      </c>
      <c r="Q22" s="11" t="s">
        <v>1275</v>
      </c>
      <c r="R22" s="12" t="s">
        <v>1903</v>
      </c>
    </row>
    <row r="23" spans="1:18" ht="86.4">
      <c r="A23" s="10" t="s">
        <v>1964</v>
      </c>
      <c r="B23" s="10" t="s">
        <v>620</v>
      </c>
      <c r="C23" s="10" t="s">
        <v>621</v>
      </c>
      <c r="D23" s="11" t="s">
        <v>1282</v>
      </c>
      <c r="E23" s="11" t="s">
        <v>1283</v>
      </c>
      <c r="F23" s="11" t="s">
        <v>1541</v>
      </c>
      <c r="G23" s="11" t="s">
        <v>1185</v>
      </c>
      <c r="H23" s="11" t="s">
        <v>1284</v>
      </c>
      <c r="I23" s="11" t="s">
        <v>1201</v>
      </c>
      <c r="J23" s="10"/>
      <c r="K23" s="11" t="s">
        <v>1188</v>
      </c>
      <c r="L23" s="11" t="s">
        <v>462</v>
      </c>
      <c r="M23" s="11" t="s">
        <v>1285</v>
      </c>
      <c r="N23" s="11" t="s">
        <v>1946</v>
      </c>
      <c r="O23" s="11"/>
      <c r="P23" s="11" t="s">
        <v>1947</v>
      </c>
      <c r="Q23" s="11" t="s">
        <v>1281</v>
      </c>
      <c r="R23" s="12" t="s">
        <v>1903</v>
      </c>
    </row>
    <row r="24" spans="1:18" ht="86.4">
      <c r="A24" s="10" t="s">
        <v>1965</v>
      </c>
      <c r="B24" s="10" t="s">
        <v>620</v>
      </c>
      <c r="C24" s="10" t="s">
        <v>621</v>
      </c>
      <c r="D24" s="11" t="s">
        <v>1287</v>
      </c>
      <c r="E24" s="11" t="s">
        <v>1288</v>
      </c>
      <c r="F24" s="11" t="s">
        <v>1541</v>
      </c>
      <c r="G24" s="11" t="s">
        <v>1289</v>
      </c>
      <c r="H24" s="11" t="s">
        <v>1290</v>
      </c>
      <c r="I24" s="11" t="s">
        <v>1201</v>
      </c>
      <c r="J24" s="10"/>
      <c r="K24" s="11" t="s">
        <v>1188</v>
      </c>
      <c r="L24" s="11" t="s">
        <v>537</v>
      </c>
      <c r="M24" s="11" t="s">
        <v>1291</v>
      </c>
      <c r="N24" s="11" t="s">
        <v>1946</v>
      </c>
      <c r="O24" s="11"/>
      <c r="P24" s="11" t="s">
        <v>1947</v>
      </c>
      <c r="Q24" s="11" t="s">
        <v>1286</v>
      </c>
      <c r="R24" s="12" t="s">
        <v>1903</v>
      </c>
    </row>
    <row r="25" spans="1:18" ht="86.4">
      <c r="A25" s="10" t="s">
        <v>1966</v>
      </c>
      <c r="B25" s="10" t="s">
        <v>620</v>
      </c>
      <c r="C25" s="10" t="s">
        <v>621</v>
      </c>
      <c r="D25" s="11" t="s">
        <v>1293</v>
      </c>
      <c r="E25" s="11" t="s">
        <v>1294</v>
      </c>
      <c r="F25" s="11" t="s">
        <v>1530</v>
      </c>
      <c r="G25" s="11" t="s">
        <v>1295</v>
      </c>
      <c r="H25" s="11" t="s">
        <v>1296</v>
      </c>
      <c r="I25" s="11" t="s">
        <v>1201</v>
      </c>
      <c r="J25" s="10"/>
      <c r="K25" s="11" t="s">
        <v>1188</v>
      </c>
      <c r="L25" s="11" t="s">
        <v>462</v>
      </c>
      <c r="M25" s="11" t="s">
        <v>1297</v>
      </c>
      <c r="N25" s="11" t="s">
        <v>1946</v>
      </c>
      <c r="O25" s="11"/>
      <c r="P25" s="11" t="s">
        <v>1947</v>
      </c>
      <c r="Q25" s="11" t="s">
        <v>1292</v>
      </c>
      <c r="R25" s="12" t="s">
        <v>1903</v>
      </c>
    </row>
    <row r="26" spans="1:18" ht="100.8">
      <c r="A26" s="10" t="s">
        <v>1967</v>
      </c>
      <c r="B26" s="10" t="s">
        <v>636</v>
      </c>
      <c r="C26" s="10" t="s">
        <v>637</v>
      </c>
      <c r="D26" s="11" t="s">
        <v>1299</v>
      </c>
      <c r="E26" s="11" t="s">
        <v>1300</v>
      </c>
      <c r="F26" s="11" t="s">
        <v>1528</v>
      </c>
      <c r="G26" s="11" t="s">
        <v>1301</v>
      </c>
      <c r="H26" s="11" t="s">
        <v>1302</v>
      </c>
      <c r="I26" s="11" t="s">
        <v>1201</v>
      </c>
      <c r="J26" s="10"/>
      <c r="K26" s="11" t="s">
        <v>1188</v>
      </c>
      <c r="L26" s="11" t="s">
        <v>462</v>
      </c>
      <c r="M26" s="11" t="s">
        <v>1303</v>
      </c>
      <c r="N26" s="11" t="s">
        <v>1946</v>
      </c>
      <c r="O26" s="11"/>
      <c r="P26" s="11" t="s">
        <v>1947</v>
      </c>
      <c r="Q26" s="11" t="s">
        <v>1298</v>
      </c>
      <c r="R26" s="12" t="s">
        <v>1903</v>
      </c>
    </row>
    <row r="27" spans="1:18" ht="129.6">
      <c r="A27" s="10" t="s">
        <v>1968</v>
      </c>
      <c r="B27" s="10" t="s">
        <v>636</v>
      </c>
      <c r="C27" s="10" t="s">
        <v>637</v>
      </c>
      <c r="D27" s="11" t="s">
        <v>1305</v>
      </c>
      <c r="E27" s="11" t="s">
        <v>1306</v>
      </c>
      <c r="F27" s="11" t="s">
        <v>1530</v>
      </c>
      <c r="G27" s="11" t="s">
        <v>1307</v>
      </c>
      <c r="H27" s="11" t="s">
        <v>1308</v>
      </c>
      <c r="I27" s="11" t="s">
        <v>1201</v>
      </c>
      <c r="J27" s="10"/>
      <c r="K27" s="11" t="s">
        <v>1188</v>
      </c>
      <c r="L27" s="11" t="s">
        <v>462</v>
      </c>
      <c r="M27" s="11" t="s">
        <v>1309</v>
      </c>
      <c r="N27" s="11" t="s">
        <v>1946</v>
      </c>
      <c r="O27" s="11"/>
      <c r="P27" s="11" t="s">
        <v>1947</v>
      </c>
      <c r="Q27" s="11" t="s">
        <v>1304</v>
      </c>
      <c r="R27" s="12" t="s">
        <v>1903</v>
      </c>
    </row>
    <row r="28" spans="1:18" ht="86.4">
      <c r="A28" s="10" t="s">
        <v>1969</v>
      </c>
      <c r="B28" s="10" t="s">
        <v>657</v>
      </c>
      <c r="C28" s="10" t="s">
        <v>658</v>
      </c>
      <c r="D28" s="11" t="s">
        <v>1311</v>
      </c>
      <c r="E28" s="11" t="s">
        <v>1312</v>
      </c>
      <c r="F28" s="11" t="s">
        <v>1541</v>
      </c>
      <c r="G28" s="11" t="s">
        <v>1313</v>
      </c>
      <c r="H28" s="11" t="s">
        <v>1314</v>
      </c>
      <c r="I28" s="11" t="s">
        <v>1201</v>
      </c>
      <c r="J28" s="10"/>
      <c r="K28" s="11" t="s">
        <v>1188</v>
      </c>
      <c r="L28" s="11" t="s">
        <v>462</v>
      </c>
      <c r="M28" s="11" t="s">
        <v>1315</v>
      </c>
      <c r="N28" s="11" t="s">
        <v>1946</v>
      </c>
      <c r="O28" s="11"/>
      <c r="P28" s="11" t="s">
        <v>1947</v>
      </c>
      <c r="Q28" s="11" t="s">
        <v>1310</v>
      </c>
      <c r="R28" s="12" t="s">
        <v>1903</v>
      </c>
    </row>
    <row r="29" spans="1:18" ht="86.4">
      <c r="A29" s="10" t="s">
        <v>1970</v>
      </c>
      <c r="B29" s="10" t="s">
        <v>657</v>
      </c>
      <c r="C29" s="10" t="s">
        <v>658</v>
      </c>
      <c r="D29" s="11" t="s">
        <v>1317</v>
      </c>
      <c r="E29" s="11" t="s">
        <v>1318</v>
      </c>
      <c r="F29" s="11" t="s">
        <v>1530</v>
      </c>
      <c r="G29" s="11" t="s">
        <v>1319</v>
      </c>
      <c r="H29" s="11" t="s">
        <v>1320</v>
      </c>
      <c r="I29" s="11" t="s">
        <v>1201</v>
      </c>
      <c r="J29" s="10"/>
      <c r="K29" s="11" t="s">
        <v>1188</v>
      </c>
      <c r="L29" s="11" t="s">
        <v>537</v>
      </c>
      <c r="M29" s="11" t="s">
        <v>1321</v>
      </c>
      <c r="N29" s="11" t="s">
        <v>1946</v>
      </c>
      <c r="O29" s="11"/>
      <c r="P29" s="11" t="s">
        <v>1947</v>
      </c>
      <c r="Q29" s="11" t="s">
        <v>1316</v>
      </c>
      <c r="R29" s="12" t="s">
        <v>1903</v>
      </c>
    </row>
    <row r="30" spans="1:18" ht="100.8">
      <c r="A30" s="10" t="s">
        <v>1971</v>
      </c>
      <c r="B30" s="10" t="s">
        <v>678</v>
      </c>
      <c r="C30" s="10" t="s">
        <v>679</v>
      </c>
      <c r="D30" s="11" t="s">
        <v>1323</v>
      </c>
      <c r="E30" s="11" t="s">
        <v>1324</v>
      </c>
      <c r="F30" s="11" t="s">
        <v>1528</v>
      </c>
      <c r="G30" s="11" t="s">
        <v>1325</v>
      </c>
      <c r="H30" s="11" t="s">
        <v>1326</v>
      </c>
      <c r="I30" s="11" t="s">
        <v>1201</v>
      </c>
      <c r="J30" s="10"/>
      <c r="K30" s="11" t="s">
        <v>1188</v>
      </c>
      <c r="L30" s="11" t="s">
        <v>462</v>
      </c>
      <c r="M30" s="11" t="s">
        <v>1327</v>
      </c>
      <c r="N30" s="11" t="s">
        <v>1946</v>
      </c>
      <c r="O30" s="11"/>
      <c r="P30" s="11" t="s">
        <v>1947</v>
      </c>
      <c r="Q30" s="11" t="s">
        <v>1322</v>
      </c>
      <c r="R30" s="12" t="s">
        <v>1903</v>
      </c>
    </row>
    <row r="31" spans="1:18" ht="72">
      <c r="A31" s="10" t="s">
        <v>1972</v>
      </c>
      <c r="B31" s="10" t="s">
        <v>678</v>
      </c>
      <c r="C31" s="10" t="s">
        <v>679</v>
      </c>
      <c r="D31" s="11" t="s">
        <v>1329</v>
      </c>
      <c r="E31" s="11" t="s">
        <v>1330</v>
      </c>
      <c r="F31" s="11" t="s">
        <v>1530</v>
      </c>
      <c r="G31" s="11" t="s">
        <v>1206</v>
      </c>
      <c r="H31" s="11" t="s">
        <v>1331</v>
      </c>
      <c r="I31" s="11" t="s">
        <v>1201</v>
      </c>
      <c r="J31" s="10"/>
      <c r="K31" s="11" t="s">
        <v>1188</v>
      </c>
      <c r="L31" s="11" t="s">
        <v>537</v>
      </c>
      <c r="M31" s="11" t="s">
        <v>1332</v>
      </c>
      <c r="N31" s="11" t="s">
        <v>1946</v>
      </c>
      <c r="O31" s="11"/>
      <c r="P31" s="11" t="s">
        <v>1947</v>
      </c>
      <c r="Q31" s="11" t="s">
        <v>1328</v>
      </c>
      <c r="R31" s="12" t="s">
        <v>1903</v>
      </c>
    </row>
    <row r="32" spans="1:18" ht="115.2">
      <c r="A32" s="10" t="s">
        <v>1973</v>
      </c>
      <c r="B32" s="10" t="s">
        <v>695</v>
      </c>
      <c r="C32" s="10" t="s">
        <v>696</v>
      </c>
      <c r="D32" s="11" t="s">
        <v>1334</v>
      </c>
      <c r="E32" s="11" t="s">
        <v>1335</v>
      </c>
      <c r="F32" s="11" t="s">
        <v>1528</v>
      </c>
      <c r="G32" s="11" t="s">
        <v>1325</v>
      </c>
      <c r="H32" s="11" t="s">
        <v>1336</v>
      </c>
      <c r="I32" s="11" t="s">
        <v>1201</v>
      </c>
      <c r="J32" s="10"/>
      <c r="K32" s="11" t="s">
        <v>1188</v>
      </c>
      <c r="L32" s="11" t="s">
        <v>462</v>
      </c>
      <c r="M32" s="11" t="s">
        <v>1337</v>
      </c>
      <c r="N32" s="11" t="s">
        <v>1946</v>
      </c>
      <c r="O32" s="11"/>
      <c r="P32" s="11" t="s">
        <v>1947</v>
      </c>
      <c r="Q32" s="11" t="s">
        <v>1333</v>
      </c>
      <c r="R32" s="12" t="s">
        <v>1903</v>
      </c>
    </row>
    <row r="33" spans="1:18" ht="86.4">
      <c r="A33" s="10" t="s">
        <v>1974</v>
      </c>
      <c r="B33" s="10" t="s">
        <v>695</v>
      </c>
      <c r="C33" s="10" t="s">
        <v>696</v>
      </c>
      <c r="D33" s="11" t="s">
        <v>1339</v>
      </c>
      <c r="E33" s="11" t="s">
        <v>1340</v>
      </c>
      <c r="F33" s="11" t="s">
        <v>1530</v>
      </c>
      <c r="G33" s="11" t="s">
        <v>1295</v>
      </c>
      <c r="H33" s="11" t="s">
        <v>1341</v>
      </c>
      <c r="I33" s="11" t="s">
        <v>1201</v>
      </c>
      <c r="J33" s="10"/>
      <c r="K33" s="11" t="s">
        <v>1188</v>
      </c>
      <c r="L33" s="11" t="s">
        <v>462</v>
      </c>
      <c r="M33" s="11" t="s">
        <v>1342</v>
      </c>
      <c r="N33" s="11" t="s">
        <v>1946</v>
      </c>
      <c r="O33" s="11"/>
      <c r="P33" s="11" t="s">
        <v>1947</v>
      </c>
      <c r="Q33" s="11" t="s">
        <v>1338</v>
      </c>
      <c r="R33" s="12" t="s">
        <v>1903</v>
      </c>
    </row>
    <row r="34" spans="1:18" ht="129.6">
      <c r="A34" s="10" t="s">
        <v>1975</v>
      </c>
      <c r="B34" s="10" t="s">
        <v>713</v>
      </c>
      <c r="C34" s="10" t="s">
        <v>714</v>
      </c>
      <c r="D34" s="11" t="s">
        <v>1344</v>
      </c>
      <c r="E34" s="11" t="s">
        <v>1345</v>
      </c>
      <c r="F34" s="11" t="s">
        <v>1541</v>
      </c>
      <c r="G34" s="11" t="s">
        <v>1313</v>
      </c>
      <c r="H34" s="11" t="s">
        <v>1346</v>
      </c>
      <c r="I34" s="11" t="s">
        <v>1187</v>
      </c>
      <c r="J34" s="10"/>
      <c r="K34" s="11" t="s">
        <v>1188</v>
      </c>
      <c r="L34" s="11" t="s">
        <v>462</v>
      </c>
      <c r="M34" s="11" t="s">
        <v>1347</v>
      </c>
      <c r="N34" s="11" t="s">
        <v>1946</v>
      </c>
      <c r="O34" s="11"/>
      <c r="P34" s="11" t="s">
        <v>1947</v>
      </c>
      <c r="Q34" s="11" t="s">
        <v>1343</v>
      </c>
      <c r="R34" s="12" t="s">
        <v>1903</v>
      </c>
    </row>
    <row r="35" spans="1:18" ht="100.8">
      <c r="A35" s="10" t="s">
        <v>1976</v>
      </c>
      <c r="B35" s="10" t="s">
        <v>713</v>
      </c>
      <c r="C35" s="10" t="s">
        <v>714</v>
      </c>
      <c r="D35" s="11" t="s">
        <v>1349</v>
      </c>
      <c r="E35" s="11" t="s">
        <v>1350</v>
      </c>
      <c r="F35" s="11" t="s">
        <v>1530</v>
      </c>
      <c r="G35" s="11" t="s">
        <v>1351</v>
      </c>
      <c r="H35" s="11" t="s">
        <v>1352</v>
      </c>
      <c r="I35" s="11" t="s">
        <v>1187</v>
      </c>
      <c r="J35" s="10"/>
      <c r="K35" s="11" t="s">
        <v>1188</v>
      </c>
      <c r="L35" s="11" t="s">
        <v>462</v>
      </c>
      <c r="M35" s="11" t="s">
        <v>1353</v>
      </c>
      <c r="N35" s="11" t="s">
        <v>1946</v>
      </c>
      <c r="O35" s="11"/>
      <c r="P35" s="11" t="s">
        <v>1947</v>
      </c>
      <c r="Q35" s="11" t="s">
        <v>1348</v>
      </c>
      <c r="R35" s="12" t="s">
        <v>1903</v>
      </c>
    </row>
    <row r="36" spans="1:18" ht="86.4">
      <c r="A36" s="10" t="s">
        <v>1977</v>
      </c>
      <c r="B36" s="10" t="s">
        <v>713</v>
      </c>
      <c r="C36" s="10" t="s">
        <v>714</v>
      </c>
      <c r="D36" s="11" t="s">
        <v>1355</v>
      </c>
      <c r="E36" s="11" t="s">
        <v>1356</v>
      </c>
      <c r="F36" s="11" t="s">
        <v>1530</v>
      </c>
      <c r="G36" s="11" t="s">
        <v>1357</v>
      </c>
      <c r="H36" s="11" t="s">
        <v>1358</v>
      </c>
      <c r="I36" s="11" t="s">
        <v>1187</v>
      </c>
      <c r="J36" s="10"/>
      <c r="K36" s="11" t="s">
        <v>1188</v>
      </c>
      <c r="L36" s="11" t="s">
        <v>462</v>
      </c>
      <c r="M36" s="11" t="s">
        <v>1359</v>
      </c>
      <c r="N36" s="11" t="s">
        <v>1946</v>
      </c>
      <c r="O36" s="11"/>
      <c r="P36" s="11" t="s">
        <v>1947</v>
      </c>
      <c r="Q36" s="11" t="s">
        <v>1354</v>
      </c>
      <c r="R36" s="12" t="s">
        <v>1903</v>
      </c>
    </row>
    <row r="37" spans="1:18" ht="100.8">
      <c r="A37" s="10" t="s">
        <v>1978</v>
      </c>
      <c r="B37" s="10" t="s">
        <v>736</v>
      </c>
      <c r="C37" s="10" t="s">
        <v>737</v>
      </c>
      <c r="D37" s="11" t="s">
        <v>1361</v>
      </c>
      <c r="E37" s="11" t="s">
        <v>1362</v>
      </c>
      <c r="F37" s="11" t="s">
        <v>1528</v>
      </c>
      <c r="G37" s="11" t="s">
        <v>1325</v>
      </c>
      <c r="H37" s="11" t="s">
        <v>1363</v>
      </c>
      <c r="I37" s="11" t="s">
        <v>1364</v>
      </c>
      <c r="J37" s="10"/>
      <c r="K37" s="11" t="s">
        <v>1188</v>
      </c>
      <c r="L37" s="11" t="s">
        <v>462</v>
      </c>
      <c r="M37" s="11" t="s">
        <v>1365</v>
      </c>
      <c r="N37" s="11" t="s">
        <v>1946</v>
      </c>
      <c r="O37" s="11"/>
      <c r="P37" s="11" t="s">
        <v>1947</v>
      </c>
      <c r="Q37" s="11" t="s">
        <v>1360</v>
      </c>
      <c r="R37" s="12" t="s">
        <v>1903</v>
      </c>
    </row>
    <row r="38" spans="1:18" ht="72">
      <c r="A38" s="10" t="s">
        <v>1979</v>
      </c>
      <c r="B38" s="10" t="s">
        <v>736</v>
      </c>
      <c r="C38" s="10" t="s">
        <v>737</v>
      </c>
      <c r="D38" s="11" t="s">
        <v>1367</v>
      </c>
      <c r="E38" s="11" t="s">
        <v>1368</v>
      </c>
      <c r="F38" s="11" t="s">
        <v>1530</v>
      </c>
      <c r="G38" s="11" t="s">
        <v>1206</v>
      </c>
      <c r="H38" s="11" t="s">
        <v>1369</v>
      </c>
      <c r="I38" s="11" t="s">
        <v>1364</v>
      </c>
      <c r="J38" s="10"/>
      <c r="K38" s="11" t="s">
        <v>1188</v>
      </c>
      <c r="L38" s="11" t="s">
        <v>537</v>
      </c>
      <c r="M38" s="11" t="s">
        <v>1370</v>
      </c>
      <c r="N38" s="11" t="s">
        <v>1946</v>
      </c>
      <c r="O38" s="11"/>
      <c r="P38" s="11" t="s">
        <v>1947</v>
      </c>
      <c r="Q38" s="11" t="s">
        <v>1366</v>
      </c>
      <c r="R38" s="12" t="s">
        <v>1903</v>
      </c>
    </row>
    <row r="39" spans="1:18" ht="100.8">
      <c r="A39" s="10" t="s">
        <v>1980</v>
      </c>
      <c r="B39" s="10" t="s">
        <v>756</v>
      </c>
      <c r="C39" s="10" t="s">
        <v>757</v>
      </c>
      <c r="D39" s="11" t="s">
        <v>1372</v>
      </c>
      <c r="E39" s="11" t="s">
        <v>1373</v>
      </c>
      <c r="F39" s="11" t="s">
        <v>1528</v>
      </c>
      <c r="G39" s="11" t="s">
        <v>1325</v>
      </c>
      <c r="H39" s="11" t="s">
        <v>1374</v>
      </c>
      <c r="I39" s="11" t="s">
        <v>1201</v>
      </c>
      <c r="J39" s="10"/>
      <c r="K39" s="11" t="s">
        <v>1188</v>
      </c>
      <c r="L39" s="11" t="s">
        <v>462</v>
      </c>
      <c r="M39" s="11" t="s">
        <v>1375</v>
      </c>
      <c r="N39" s="11" t="s">
        <v>1946</v>
      </c>
      <c r="O39" s="11"/>
      <c r="P39" s="11" t="s">
        <v>1947</v>
      </c>
      <c r="Q39" s="11" t="s">
        <v>1371</v>
      </c>
      <c r="R39" s="12" t="s">
        <v>1903</v>
      </c>
    </row>
    <row r="40" spans="1:18" ht="72">
      <c r="A40" s="10" t="s">
        <v>1981</v>
      </c>
      <c r="B40" s="10" t="s">
        <v>756</v>
      </c>
      <c r="C40" s="10" t="s">
        <v>757</v>
      </c>
      <c r="D40" s="11" t="s">
        <v>1377</v>
      </c>
      <c r="E40" s="11" t="s">
        <v>1378</v>
      </c>
      <c r="F40" s="11" t="s">
        <v>1530</v>
      </c>
      <c r="G40" s="11" t="s">
        <v>1206</v>
      </c>
      <c r="H40" s="11" t="s">
        <v>1379</v>
      </c>
      <c r="I40" s="11" t="s">
        <v>1201</v>
      </c>
      <c r="J40" s="10"/>
      <c r="K40" s="11" t="s">
        <v>1188</v>
      </c>
      <c r="L40" s="11" t="s">
        <v>537</v>
      </c>
      <c r="M40" s="11" t="s">
        <v>1380</v>
      </c>
      <c r="N40" s="11" t="s">
        <v>1946</v>
      </c>
      <c r="O40" s="11"/>
      <c r="P40" s="11" t="s">
        <v>1947</v>
      </c>
      <c r="Q40" s="11" t="s">
        <v>1376</v>
      </c>
      <c r="R40" s="12" t="s">
        <v>1903</v>
      </c>
    </row>
    <row r="41" spans="1:18" ht="100.8">
      <c r="A41" s="10" t="s">
        <v>1982</v>
      </c>
      <c r="B41" s="10" t="s">
        <v>773</v>
      </c>
      <c r="C41" s="10" t="s">
        <v>774</v>
      </c>
      <c r="D41" s="11" t="s">
        <v>1382</v>
      </c>
      <c r="E41" s="11" t="s">
        <v>1383</v>
      </c>
      <c r="F41" s="11" t="s">
        <v>1528</v>
      </c>
      <c r="G41" s="11" t="s">
        <v>1325</v>
      </c>
      <c r="H41" s="11" t="s">
        <v>1384</v>
      </c>
      <c r="I41" s="11" t="s">
        <v>1187</v>
      </c>
      <c r="J41" s="10"/>
      <c r="K41" s="11" t="s">
        <v>1188</v>
      </c>
      <c r="L41" s="11" t="s">
        <v>462</v>
      </c>
      <c r="M41" s="11" t="s">
        <v>1385</v>
      </c>
      <c r="N41" s="11" t="s">
        <v>1946</v>
      </c>
      <c r="O41" s="11"/>
      <c r="P41" s="11" t="s">
        <v>1947</v>
      </c>
      <c r="Q41" s="11" t="s">
        <v>1381</v>
      </c>
      <c r="R41" s="12" t="s">
        <v>1903</v>
      </c>
    </row>
    <row r="42" spans="1:18" ht="100.8">
      <c r="A42" s="10" t="s">
        <v>1983</v>
      </c>
      <c r="B42" s="10" t="s">
        <v>773</v>
      </c>
      <c r="C42" s="10" t="s">
        <v>774</v>
      </c>
      <c r="D42" s="11" t="s">
        <v>1387</v>
      </c>
      <c r="E42" s="11" t="s">
        <v>1388</v>
      </c>
      <c r="F42" s="11" t="s">
        <v>1530</v>
      </c>
      <c r="G42" s="11" t="s">
        <v>1389</v>
      </c>
      <c r="H42" s="11" t="s">
        <v>1390</v>
      </c>
      <c r="I42" s="11" t="s">
        <v>1187</v>
      </c>
      <c r="J42" s="10"/>
      <c r="K42" s="11" t="s">
        <v>1188</v>
      </c>
      <c r="L42" s="11" t="s">
        <v>462</v>
      </c>
      <c r="M42" s="11" t="s">
        <v>1391</v>
      </c>
      <c r="N42" s="11" t="s">
        <v>1946</v>
      </c>
      <c r="O42" s="11"/>
      <c r="P42" s="11" t="s">
        <v>1947</v>
      </c>
      <c r="Q42" s="11" t="s">
        <v>1386</v>
      </c>
      <c r="R42" s="12" t="s">
        <v>1903</v>
      </c>
    </row>
    <row r="43" spans="1:18" ht="115.2">
      <c r="A43" s="10" t="s">
        <v>1984</v>
      </c>
      <c r="B43" s="10" t="s">
        <v>794</v>
      </c>
      <c r="C43" s="10" t="s">
        <v>795</v>
      </c>
      <c r="D43" s="11" t="s">
        <v>1393</v>
      </c>
      <c r="E43" s="11" t="s">
        <v>1394</v>
      </c>
      <c r="F43" s="11" t="s">
        <v>1528</v>
      </c>
      <c r="G43" s="11" t="s">
        <v>1185</v>
      </c>
      <c r="H43" s="11" t="s">
        <v>1395</v>
      </c>
      <c r="I43" s="11" t="s">
        <v>1201</v>
      </c>
      <c r="J43" s="10"/>
      <c r="K43" s="11" t="s">
        <v>1188</v>
      </c>
      <c r="L43" s="11" t="s">
        <v>462</v>
      </c>
      <c r="M43" s="11" t="s">
        <v>1396</v>
      </c>
      <c r="N43" s="11" t="s">
        <v>1946</v>
      </c>
      <c r="O43" s="11"/>
      <c r="P43" s="11" t="s">
        <v>1947</v>
      </c>
      <c r="Q43" s="11" t="s">
        <v>1392</v>
      </c>
      <c r="R43" s="12" t="s">
        <v>1903</v>
      </c>
    </row>
    <row r="44" spans="1:18" ht="72">
      <c r="A44" s="10" t="s">
        <v>1985</v>
      </c>
      <c r="B44" s="10" t="s">
        <v>794</v>
      </c>
      <c r="C44" s="10" t="s">
        <v>795</v>
      </c>
      <c r="D44" s="11" t="s">
        <v>1398</v>
      </c>
      <c r="E44" s="11" t="s">
        <v>1399</v>
      </c>
      <c r="F44" s="11" t="s">
        <v>1530</v>
      </c>
      <c r="G44" s="11" t="s">
        <v>1400</v>
      </c>
      <c r="H44" s="11" t="s">
        <v>1401</v>
      </c>
      <c r="I44" s="11" t="s">
        <v>1201</v>
      </c>
      <c r="J44" s="10"/>
      <c r="K44" s="11" t="s">
        <v>1188</v>
      </c>
      <c r="L44" s="11" t="s">
        <v>537</v>
      </c>
      <c r="M44" s="11" t="s">
        <v>1402</v>
      </c>
      <c r="N44" s="11" t="s">
        <v>1946</v>
      </c>
      <c r="O44" s="11"/>
      <c r="P44" s="11" t="s">
        <v>1947</v>
      </c>
      <c r="Q44" s="11" t="s">
        <v>1397</v>
      </c>
      <c r="R44" s="12" t="s">
        <v>1903</v>
      </c>
    </row>
    <row r="45" spans="1:18" ht="100.8">
      <c r="A45" s="10" t="s">
        <v>1986</v>
      </c>
      <c r="B45" s="10" t="s">
        <v>809</v>
      </c>
      <c r="C45" s="10" t="s">
        <v>810</v>
      </c>
      <c r="D45" s="11" t="s">
        <v>1404</v>
      </c>
      <c r="E45" s="11" t="s">
        <v>1405</v>
      </c>
      <c r="F45" s="11" t="s">
        <v>1528</v>
      </c>
      <c r="G45" s="11" t="s">
        <v>1185</v>
      </c>
      <c r="H45" s="11" t="s">
        <v>1406</v>
      </c>
      <c r="I45" s="11" t="s">
        <v>1201</v>
      </c>
      <c r="J45" s="10"/>
      <c r="K45" s="11" t="s">
        <v>1188</v>
      </c>
      <c r="L45" s="11" t="s">
        <v>462</v>
      </c>
      <c r="M45" s="11" t="s">
        <v>1407</v>
      </c>
      <c r="N45" s="11" t="s">
        <v>1946</v>
      </c>
      <c r="O45" s="11"/>
      <c r="P45" s="11" t="s">
        <v>1947</v>
      </c>
      <c r="Q45" s="11" t="s">
        <v>1403</v>
      </c>
      <c r="R45" s="12" t="s">
        <v>1903</v>
      </c>
    </row>
    <row r="46" spans="1:18" ht="115.2">
      <c r="A46" s="10" t="s">
        <v>1987</v>
      </c>
      <c r="B46" s="10" t="s">
        <v>809</v>
      </c>
      <c r="C46" s="10" t="s">
        <v>810</v>
      </c>
      <c r="D46" s="11" t="s">
        <v>1409</v>
      </c>
      <c r="E46" s="11" t="s">
        <v>1410</v>
      </c>
      <c r="F46" s="11" t="s">
        <v>1530</v>
      </c>
      <c r="G46" s="11" t="s">
        <v>1400</v>
      </c>
      <c r="H46" s="11" t="s">
        <v>1411</v>
      </c>
      <c r="I46" s="11" t="s">
        <v>1201</v>
      </c>
      <c r="J46" s="10"/>
      <c r="K46" s="11" t="s">
        <v>1188</v>
      </c>
      <c r="L46" s="11" t="s">
        <v>537</v>
      </c>
      <c r="M46" s="11" t="s">
        <v>1412</v>
      </c>
      <c r="N46" s="11" t="s">
        <v>1946</v>
      </c>
      <c r="O46" s="11"/>
      <c r="P46" s="11" t="s">
        <v>1947</v>
      </c>
      <c r="Q46" s="11" t="s">
        <v>1408</v>
      </c>
      <c r="R46" s="12" t="s">
        <v>1903</v>
      </c>
    </row>
    <row r="47" spans="1:18" ht="115.2">
      <c r="A47" s="10" t="s">
        <v>1988</v>
      </c>
      <c r="B47" s="10" t="s">
        <v>828</v>
      </c>
      <c r="C47" s="10" t="s">
        <v>829</v>
      </c>
      <c r="D47" s="11" t="s">
        <v>1414</v>
      </c>
      <c r="E47" s="11" t="s">
        <v>1415</v>
      </c>
      <c r="F47" s="11" t="s">
        <v>1528</v>
      </c>
      <c r="G47" s="11" t="s">
        <v>1199</v>
      </c>
      <c r="H47" s="11" t="s">
        <v>1416</v>
      </c>
      <c r="I47" s="11" t="s">
        <v>1201</v>
      </c>
      <c r="J47" s="10"/>
      <c r="K47" s="11" t="s">
        <v>1188</v>
      </c>
      <c r="L47" s="11" t="s">
        <v>462</v>
      </c>
      <c r="M47" s="11" t="s">
        <v>1417</v>
      </c>
      <c r="N47" s="11" t="s">
        <v>1946</v>
      </c>
      <c r="O47" s="11"/>
      <c r="P47" s="11" t="s">
        <v>1947</v>
      </c>
      <c r="Q47" s="11" t="s">
        <v>1413</v>
      </c>
      <c r="R47" s="12" t="s">
        <v>1903</v>
      </c>
    </row>
    <row r="48" spans="1:18" ht="86.4">
      <c r="A48" s="10" t="s">
        <v>1989</v>
      </c>
      <c r="B48" s="10" t="s">
        <v>845</v>
      </c>
      <c r="C48" s="10" t="s">
        <v>846</v>
      </c>
      <c r="D48" s="11" t="s">
        <v>1419</v>
      </c>
      <c r="E48" s="11" t="s">
        <v>1420</v>
      </c>
      <c r="F48" s="11" t="s">
        <v>1528</v>
      </c>
      <c r="G48" s="11" t="s">
        <v>1185</v>
      </c>
      <c r="H48" s="11" t="s">
        <v>1421</v>
      </c>
      <c r="I48" s="11" t="s">
        <v>1201</v>
      </c>
      <c r="J48" s="10"/>
      <c r="K48" s="11" t="s">
        <v>1188</v>
      </c>
      <c r="L48" s="11" t="s">
        <v>462</v>
      </c>
      <c r="M48" s="11" t="s">
        <v>1422</v>
      </c>
      <c r="N48" s="11" t="s">
        <v>1946</v>
      </c>
      <c r="O48" s="11"/>
      <c r="P48" s="11" t="s">
        <v>1947</v>
      </c>
      <c r="Q48" s="11" t="s">
        <v>1418</v>
      </c>
      <c r="R48" s="12" t="s">
        <v>1903</v>
      </c>
    </row>
    <row r="49" spans="1:18" ht="86.4">
      <c r="A49" s="10" t="s">
        <v>1990</v>
      </c>
      <c r="B49" s="10" t="s">
        <v>859</v>
      </c>
      <c r="C49" s="10" t="s">
        <v>860</v>
      </c>
      <c r="D49" s="11" t="s">
        <v>1424</v>
      </c>
      <c r="E49" s="11" t="s">
        <v>1425</v>
      </c>
      <c r="F49" s="11" t="s">
        <v>1528</v>
      </c>
      <c r="G49" s="11" t="s">
        <v>1185</v>
      </c>
      <c r="H49" s="11" t="s">
        <v>1426</v>
      </c>
      <c r="I49" s="11" t="s">
        <v>1201</v>
      </c>
      <c r="J49" s="10"/>
      <c r="K49" s="11" t="s">
        <v>1188</v>
      </c>
      <c r="L49" s="11" t="s">
        <v>462</v>
      </c>
      <c r="M49" s="11" t="s">
        <v>1427</v>
      </c>
      <c r="N49" s="11" t="s">
        <v>1946</v>
      </c>
      <c r="O49" s="11"/>
      <c r="P49" s="11" t="s">
        <v>1947</v>
      </c>
      <c r="Q49" s="11" t="s">
        <v>1423</v>
      </c>
      <c r="R49" s="12" t="s">
        <v>1903</v>
      </c>
    </row>
    <row r="50" spans="1:18" ht="115.2">
      <c r="A50" s="10" t="s">
        <v>1991</v>
      </c>
      <c r="B50" s="10" t="s">
        <v>873</v>
      </c>
      <c r="C50" s="10" t="s">
        <v>874</v>
      </c>
      <c r="D50" s="11" t="s">
        <v>1429</v>
      </c>
      <c r="E50" s="11" t="s">
        <v>1430</v>
      </c>
      <c r="F50" s="11" t="s">
        <v>1528</v>
      </c>
      <c r="G50" s="11" t="s">
        <v>1431</v>
      </c>
      <c r="H50" s="11" t="s">
        <v>1432</v>
      </c>
      <c r="I50" s="11" t="s">
        <v>1187</v>
      </c>
      <c r="J50" s="10"/>
      <c r="K50" s="11" t="s">
        <v>1188</v>
      </c>
      <c r="L50" s="11" t="s">
        <v>462</v>
      </c>
      <c r="M50" s="11" t="s">
        <v>1433</v>
      </c>
      <c r="N50" s="11" t="s">
        <v>1946</v>
      </c>
      <c r="O50" s="11"/>
      <c r="P50" s="11" t="s">
        <v>1947</v>
      </c>
      <c r="Q50" s="11" t="s">
        <v>1428</v>
      </c>
      <c r="R50" s="12" t="s">
        <v>1903</v>
      </c>
    </row>
    <row r="51" spans="1:18" ht="57.6">
      <c r="A51" s="10" t="s">
        <v>1992</v>
      </c>
      <c r="B51" s="10" t="s">
        <v>873</v>
      </c>
      <c r="C51" s="10" t="s">
        <v>874</v>
      </c>
      <c r="D51" s="11" t="s">
        <v>1435</v>
      </c>
      <c r="E51" s="11" t="s">
        <v>1436</v>
      </c>
      <c r="F51" s="11" t="s">
        <v>1530</v>
      </c>
      <c r="G51" s="11" t="s">
        <v>1206</v>
      </c>
      <c r="H51" s="11" t="s">
        <v>1437</v>
      </c>
      <c r="I51" s="11" t="s">
        <v>1187</v>
      </c>
      <c r="J51" s="10"/>
      <c r="K51" s="11" t="s">
        <v>1188</v>
      </c>
      <c r="L51" s="11" t="s">
        <v>537</v>
      </c>
      <c r="M51" s="11" t="s">
        <v>1438</v>
      </c>
      <c r="N51" s="13" t="s">
        <v>1946</v>
      </c>
      <c r="O51" s="11"/>
      <c r="P51" s="11" t="s">
        <v>1947</v>
      </c>
      <c r="Q51" s="11" t="s">
        <v>1434</v>
      </c>
      <c r="R51" s="12" t="s">
        <v>1903</v>
      </c>
    </row>
    <row r="52" spans="1:18" ht="100.8">
      <c r="A52" s="10" t="s">
        <v>1993</v>
      </c>
      <c r="B52" s="10" t="s">
        <v>891</v>
      </c>
      <c r="C52" s="10" t="s">
        <v>892</v>
      </c>
      <c r="D52" s="11" t="s">
        <v>1440</v>
      </c>
      <c r="E52" s="11" t="s">
        <v>1441</v>
      </c>
      <c r="F52" s="11" t="s">
        <v>1528</v>
      </c>
      <c r="G52" s="11" t="s">
        <v>1185</v>
      </c>
      <c r="H52" s="11" t="s">
        <v>1442</v>
      </c>
      <c r="I52" s="11" t="s">
        <v>1201</v>
      </c>
      <c r="J52" s="10"/>
      <c r="K52" s="11" t="s">
        <v>1188</v>
      </c>
      <c r="L52" s="11" t="s">
        <v>462</v>
      </c>
      <c r="M52" s="11" t="s">
        <v>1443</v>
      </c>
      <c r="N52" s="11" t="s">
        <v>1946</v>
      </c>
      <c r="O52" s="11"/>
      <c r="P52" s="11" t="s">
        <v>1947</v>
      </c>
      <c r="Q52" s="11" t="s">
        <v>1439</v>
      </c>
      <c r="R52" s="12" t="s">
        <v>1903</v>
      </c>
    </row>
    <row r="53" spans="1:18" ht="100.8">
      <c r="A53" s="10" t="s">
        <v>1994</v>
      </c>
      <c r="B53" s="10" t="s">
        <v>891</v>
      </c>
      <c r="C53" s="10" t="s">
        <v>892</v>
      </c>
      <c r="D53" s="11" t="s">
        <v>1445</v>
      </c>
      <c r="E53" s="11" t="s">
        <v>1446</v>
      </c>
      <c r="F53" s="11" t="s">
        <v>1528</v>
      </c>
      <c r="G53" s="11" t="s">
        <v>1325</v>
      </c>
      <c r="H53" s="11" t="s">
        <v>1447</v>
      </c>
      <c r="I53" s="11" t="s">
        <v>1201</v>
      </c>
      <c r="J53" s="10"/>
      <c r="K53" s="11" t="s">
        <v>1188</v>
      </c>
      <c r="L53" s="11" t="s">
        <v>462</v>
      </c>
      <c r="M53" s="11" t="s">
        <v>1448</v>
      </c>
      <c r="N53" s="11" t="s">
        <v>1946</v>
      </c>
      <c r="O53" s="11"/>
      <c r="P53" s="11" t="s">
        <v>1947</v>
      </c>
      <c r="Q53" s="11" t="s">
        <v>1444</v>
      </c>
      <c r="R53" s="12" t="s">
        <v>1903</v>
      </c>
    </row>
    <row r="54" spans="1:18" ht="100.8">
      <c r="A54" s="10" t="s">
        <v>1995</v>
      </c>
      <c r="B54" s="10" t="s">
        <v>891</v>
      </c>
      <c r="C54" s="10" t="s">
        <v>892</v>
      </c>
      <c r="D54" s="11" t="s">
        <v>1450</v>
      </c>
      <c r="E54" s="11" t="s">
        <v>1451</v>
      </c>
      <c r="F54" s="11" t="s">
        <v>1530</v>
      </c>
      <c r="G54" s="11" t="s">
        <v>1452</v>
      </c>
      <c r="H54" s="11" t="s">
        <v>1453</v>
      </c>
      <c r="I54" s="11" t="s">
        <v>1201</v>
      </c>
      <c r="J54" s="10"/>
      <c r="K54" s="11" t="s">
        <v>1188</v>
      </c>
      <c r="L54" s="11" t="s">
        <v>537</v>
      </c>
      <c r="M54" s="11" t="s">
        <v>1454</v>
      </c>
      <c r="N54" s="11" t="s">
        <v>1946</v>
      </c>
      <c r="O54" s="11"/>
      <c r="P54" s="11" t="s">
        <v>1947</v>
      </c>
      <c r="Q54" s="11" t="s">
        <v>1449</v>
      </c>
      <c r="R54" s="12" t="s">
        <v>1903</v>
      </c>
    </row>
    <row r="55" spans="1:18" ht="204.75" customHeight="1">
      <c r="A55" s="10" t="s">
        <v>1996</v>
      </c>
      <c r="B55" s="10" t="s">
        <v>911</v>
      </c>
      <c r="C55" s="10" t="s">
        <v>912</v>
      </c>
      <c r="D55" s="11" t="s">
        <v>1456</v>
      </c>
      <c r="E55" s="11" t="s">
        <v>1457</v>
      </c>
      <c r="F55" s="11" t="s">
        <v>1528</v>
      </c>
      <c r="G55" s="11" t="s">
        <v>1458</v>
      </c>
      <c r="H55" s="11" t="s">
        <v>1459</v>
      </c>
      <c r="I55" s="11" t="s">
        <v>1187</v>
      </c>
      <c r="J55" s="10"/>
      <c r="K55" s="11" t="s">
        <v>1188</v>
      </c>
      <c r="L55" s="11" t="s">
        <v>462</v>
      </c>
      <c r="M55" s="11" t="s">
        <v>1460</v>
      </c>
      <c r="N55" s="11" t="s">
        <v>1946</v>
      </c>
      <c r="O55" s="11"/>
      <c r="P55" s="11" t="s">
        <v>1947</v>
      </c>
      <c r="Q55" s="11" t="s">
        <v>1455</v>
      </c>
      <c r="R55" s="12" t="s">
        <v>1903</v>
      </c>
    </row>
    <row r="56" spans="1:18" ht="144">
      <c r="A56" s="10" t="s">
        <v>1997</v>
      </c>
      <c r="B56" s="10" t="s">
        <v>929</v>
      </c>
      <c r="C56" s="10" t="s">
        <v>930</v>
      </c>
      <c r="D56" s="11" t="s">
        <v>1462</v>
      </c>
      <c r="E56" s="11" t="s">
        <v>1463</v>
      </c>
      <c r="F56" s="11" t="s">
        <v>1528</v>
      </c>
      <c r="G56" s="11" t="s">
        <v>1185</v>
      </c>
      <c r="H56" s="11" t="s">
        <v>1464</v>
      </c>
      <c r="I56" s="11" t="s">
        <v>1187</v>
      </c>
      <c r="J56" s="10"/>
      <c r="K56" s="11" t="s">
        <v>1465</v>
      </c>
      <c r="L56" s="11" t="s">
        <v>462</v>
      </c>
      <c r="M56" s="11" t="s">
        <v>1466</v>
      </c>
      <c r="N56" s="11" t="s">
        <v>1946</v>
      </c>
      <c r="O56" s="11"/>
      <c r="P56" s="11" t="s">
        <v>1947</v>
      </c>
      <c r="Q56" s="11" t="s">
        <v>1461</v>
      </c>
      <c r="R56" s="12" t="s">
        <v>1099</v>
      </c>
    </row>
    <row r="57" spans="1:18" ht="86.4">
      <c r="A57" s="10" t="s">
        <v>1998</v>
      </c>
      <c r="B57" s="10" t="s">
        <v>929</v>
      </c>
      <c r="C57" s="10" t="s">
        <v>930</v>
      </c>
      <c r="D57" s="11" t="s">
        <v>1468</v>
      </c>
      <c r="E57" s="11" t="s">
        <v>1469</v>
      </c>
      <c r="F57" s="11" t="s">
        <v>1530</v>
      </c>
      <c r="G57" s="11" t="s">
        <v>1206</v>
      </c>
      <c r="H57" s="11" t="s">
        <v>1470</v>
      </c>
      <c r="I57" s="11" t="s">
        <v>1187</v>
      </c>
      <c r="J57" s="10"/>
      <c r="K57" s="11" t="s">
        <v>1188</v>
      </c>
      <c r="L57" s="11" t="s">
        <v>462</v>
      </c>
      <c r="M57" s="11" t="s">
        <v>1471</v>
      </c>
      <c r="N57" s="11" t="s">
        <v>1946</v>
      </c>
      <c r="O57" s="11"/>
      <c r="P57" s="11" t="s">
        <v>1947</v>
      </c>
      <c r="Q57" s="11" t="s">
        <v>1467</v>
      </c>
      <c r="R57" s="12" t="s">
        <v>1903</v>
      </c>
    </row>
    <row r="58" spans="1:18" ht="158.4">
      <c r="A58" s="10" t="s">
        <v>1999</v>
      </c>
      <c r="B58" s="10" t="s">
        <v>946</v>
      </c>
      <c r="C58" s="10" t="s">
        <v>947</v>
      </c>
      <c r="D58" s="11" t="s">
        <v>1473</v>
      </c>
      <c r="E58" s="11" t="s">
        <v>1474</v>
      </c>
      <c r="F58" s="11" t="s">
        <v>1528</v>
      </c>
      <c r="G58" s="11" t="s">
        <v>1185</v>
      </c>
      <c r="H58" s="11" t="s">
        <v>1475</v>
      </c>
      <c r="I58" s="11" t="s">
        <v>1201</v>
      </c>
      <c r="J58" s="10"/>
      <c r="K58" s="11" t="s">
        <v>1465</v>
      </c>
      <c r="L58" s="11" t="s">
        <v>462</v>
      </c>
      <c r="M58" s="11" t="s">
        <v>1476</v>
      </c>
      <c r="N58" s="11" t="s">
        <v>1946</v>
      </c>
      <c r="O58" s="11"/>
      <c r="P58" s="11" t="s">
        <v>1947</v>
      </c>
      <c r="Q58" s="11" t="s">
        <v>1472</v>
      </c>
      <c r="R58" s="12" t="s">
        <v>1099</v>
      </c>
    </row>
    <row r="59" spans="1:18" ht="86.4">
      <c r="A59" s="10" t="s">
        <v>2000</v>
      </c>
      <c r="B59" s="10" t="s">
        <v>946</v>
      </c>
      <c r="C59" s="10" t="s">
        <v>947</v>
      </c>
      <c r="D59" s="11" t="s">
        <v>1478</v>
      </c>
      <c r="E59" s="11" t="s">
        <v>1479</v>
      </c>
      <c r="F59" s="11" t="s">
        <v>1530</v>
      </c>
      <c r="G59" s="11" t="s">
        <v>1206</v>
      </c>
      <c r="H59" s="11" t="s">
        <v>1480</v>
      </c>
      <c r="I59" s="11" t="s">
        <v>1201</v>
      </c>
      <c r="J59" s="10"/>
      <c r="K59" s="11" t="s">
        <v>1188</v>
      </c>
      <c r="L59" s="11" t="s">
        <v>537</v>
      </c>
      <c r="M59" s="11" t="s">
        <v>1481</v>
      </c>
      <c r="N59" s="11" t="s">
        <v>1946</v>
      </c>
      <c r="O59" s="11"/>
      <c r="P59" s="11" t="s">
        <v>1947</v>
      </c>
      <c r="Q59" s="11" t="s">
        <v>1477</v>
      </c>
      <c r="R59" s="12" t="s">
        <v>1903</v>
      </c>
    </row>
    <row r="60" spans="1:18" ht="216">
      <c r="A60" s="10" t="s">
        <v>2001</v>
      </c>
      <c r="B60" s="10" t="s">
        <v>963</v>
      </c>
      <c r="C60" s="10" t="s">
        <v>964</v>
      </c>
      <c r="D60" s="11" t="s">
        <v>1483</v>
      </c>
      <c r="E60" s="11" t="s">
        <v>1484</v>
      </c>
      <c r="F60" s="11" t="s">
        <v>1528</v>
      </c>
      <c r="G60" s="11" t="s">
        <v>1431</v>
      </c>
      <c r="H60" s="11" t="s">
        <v>1485</v>
      </c>
      <c r="I60" s="11" t="s">
        <v>1187</v>
      </c>
      <c r="J60" s="10"/>
      <c r="K60" s="11" t="s">
        <v>1188</v>
      </c>
      <c r="L60" s="11" t="s">
        <v>462</v>
      </c>
      <c r="M60" s="11" t="s">
        <v>1486</v>
      </c>
      <c r="N60" s="11" t="s">
        <v>1946</v>
      </c>
      <c r="O60" s="11"/>
      <c r="P60" s="11" t="s">
        <v>1947</v>
      </c>
      <c r="Q60" s="11" t="s">
        <v>1482</v>
      </c>
      <c r="R60" s="12" t="s">
        <v>1903</v>
      </c>
    </row>
    <row r="61" spans="1:18" ht="144">
      <c r="A61" s="10" t="s">
        <v>2002</v>
      </c>
      <c r="B61" s="10" t="s">
        <v>963</v>
      </c>
      <c r="C61" s="10" t="s">
        <v>964</v>
      </c>
      <c r="D61" s="11" t="s">
        <v>1488</v>
      </c>
      <c r="E61" s="11" t="s">
        <v>1489</v>
      </c>
      <c r="F61" s="11" t="s">
        <v>1530</v>
      </c>
      <c r="G61" s="11" t="s">
        <v>1490</v>
      </c>
      <c r="H61" s="11" t="s">
        <v>1491</v>
      </c>
      <c r="I61" s="11" t="s">
        <v>1187</v>
      </c>
      <c r="J61" s="10"/>
      <c r="K61" s="11" t="s">
        <v>1188</v>
      </c>
      <c r="L61" s="11" t="s">
        <v>537</v>
      </c>
      <c r="M61" s="11" t="s">
        <v>1492</v>
      </c>
      <c r="N61" s="11" t="s">
        <v>1946</v>
      </c>
      <c r="O61" s="11"/>
      <c r="P61" s="11" t="s">
        <v>1947</v>
      </c>
      <c r="Q61" s="11" t="s">
        <v>1487</v>
      </c>
      <c r="R61" s="12" t="s">
        <v>1903</v>
      </c>
    </row>
    <row r="62" spans="1:18" ht="216">
      <c r="A62" s="10" t="s">
        <v>2003</v>
      </c>
      <c r="B62" s="10" t="s">
        <v>980</v>
      </c>
      <c r="C62" s="10" t="s">
        <v>981</v>
      </c>
      <c r="D62" s="11" t="s">
        <v>1494</v>
      </c>
      <c r="E62" s="11" t="s">
        <v>1495</v>
      </c>
      <c r="F62" s="11" t="s">
        <v>1528</v>
      </c>
      <c r="G62" s="11" t="s">
        <v>1199</v>
      </c>
      <c r="H62" s="11" t="s">
        <v>1496</v>
      </c>
      <c r="I62" s="11" t="s">
        <v>1201</v>
      </c>
      <c r="J62" s="10"/>
      <c r="K62" s="11" t="s">
        <v>1188</v>
      </c>
      <c r="L62" s="11" t="s">
        <v>462</v>
      </c>
      <c r="M62" s="11" t="s">
        <v>1497</v>
      </c>
      <c r="N62" s="11" t="s">
        <v>1946</v>
      </c>
      <c r="O62" s="11"/>
      <c r="P62" s="11" t="s">
        <v>1947</v>
      </c>
      <c r="Q62" s="11" t="s">
        <v>1493</v>
      </c>
      <c r="R62" s="12" t="s">
        <v>1903</v>
      </c>
    </row>
    <row r="63" spans="1:18" ht="144">
      <c r="A63" s="10" t="s">
        <v>2004</v>
      </c>
      <c r="B63" s="10" t="s">
        <v>980</v>
      </c>
      <c r="C63" s="10" t="s">
        <v>981</v>
      </c>
      <c r="D63" s="11" t="s">
        <v>1499</v>
      </c>
      <c r="E63" s="11" t="s">
        <v>1500</v>
      </c>
      <c r="F63" s="11" t="s">
        <v>1530</v>
      </c>
      <c r="G63" s="11" t="s">
        <v>1501</v>
      </c>
      <c r="H63" s="11" t="s">
        <v>1502</v>
      </c>
      <c r="I63" s="11" t="s">
        <v>1187</v>
      </c>
      <c r="J63" s="10"/>
      <c r="K63" s="11" t="s">
        <v>1188</v>
      </c>
      <c r="L63" s="11" t="s">
        <v>537</v>
      </c>
      <c r="M63" s="11" t="s">
        <v>1503</v>
      </c>
      <c r="N63" s="11" t="s">
        <v>1946</v>
      </c>
      <c r="O63" s="11"/>
      <c r="P63" s="11" t="s">
        <v>1947</v>
      </c>
      <c r="Q63" s="11" t="s">
        <v>1498</v>
      </c>
      <c r="R63" s="12" t="s">
        <v>1903</v>
      </c>
    </row>
    <row r="64" spans="1:18" ht="158.4">
      <c r="A64" s="10" t="s">
        <v>2005</v>
      </c>
      <c r="B64" s="10" t="s">
        <v>999</v>
      </c>
      <c r="C64" s="10" t="s">
        <v>1000</v>
      </c>
      <c r="D64" s="11" t="s">
        <v>1505</v>
      </c>
      <c r="E64" s="11" t="s">
        <v>1506</v>
      </c>
      <c r="F64" s="11" t="s">
        <v>1528</v>
      </c>
      <c r="G64" s="11" t="s">
        <v>1185</v>
      </c>
      <c r="H64" s="11" t="s">
        <v>1507</v>
      </c>
      <c r="I64" s="11" t="s">
        <v>1364</v>
      </c>
      <c r="J64" s="10"/>
      <c r="K64" s="11" t="s">
        <v>1465</v>
      </c>
      <c r="L64" s="11" t="s">
        <v>462</v>
      </c>
      <c r="M64" s="11" t="s">
        <v>1508</v>
      </c>
      <c r="N64" s="11" t="s">
        <v>1946</v>
      </c>
      <c r="O64" s="11"/>
      <c r="P64" s="11" t="s">
        <v>1947</v>
      </c>
      <c r="Q64" s="11" t="s">
        <v>1504</v>
      </c>
      <c r="R64" s="12" t="s">
        <v>1099</v>
      </c>
    </row>
    <row r="65" spans="1:18" ht="172.8">
      <c r="A65" s="10" t="s">
        <v>2006</v>
      </c>
      <c r="B65" s="10" t="s">
        <v>999</v>
      </c>
      <c r="C65" s="10" t="s">
        <v>1000</v>
      </c>
      <c r="D65" s="11" t="s">
        <v>1510</v>
      </c>
      <c r="E65" s="11" t="s">
        <v>1511</v>
      </c>
      <c r="F65" s="11" t="s">
        <v>1528</v>
      </c>
      <c r="G65" s="11" t="s">
        <v>1512</v>
      </c>
      <c r="H65" s="11" t="s">
        <v>1513</v>
      </c>
      <c r="I65" s="11" t="s">
        <v>1364</v>
      </c>
      <c r="J65" s="10"/>
      <c r="K65" s="11" t="s">
        <v>1188</v>
      </c>
      <c r="L65" s="11" t="s">
        <v>462</v>
      </c>
      <c r="M65" s="11" t="s">
        <v>1514</v>
      </c>
      <c r="N65" s="11" t="s">
        <v>1946</v>
      </c>
      <c r="O65" s="11"/>
      <c r="P65" s="11" t="s">
        <v>1947</v>
      </c>
      <c r="Q65" s="11" t="s">
        <v>1509</v>
      </c>
      <c r="R65" s="12" t="s">
        <v>1903</v>
      </c>
    </row>
    <row r="66" spans="1:18" ht="144">
      <c r="A66" s="10" t="s">
        <v>2007</v>
      </c>
      <c r="B66" s="10" t="s">
        <v>999</v>
      </c>
      <c r="C66" s="10" t="s">
        <v>1000</v>
      </c>
      <c r="D66" s="11" t="s">
        <v>1516</v>
      </c>
      <c r="E66" s="11" t="s">
        <v>1517</v>
      </c>
      <c r="F66" s="11" t="s">
        <v>1530</v>
      </c>
      <c r="G66" s="11" t="s">
        <v>1490</v>
      </c>
      <c r="H66" s="11" t="s">
        <v>1518</v>
      </c>
      <c r="I66" s="11" t="s">
        <v>1364</v>
      </c>
      <c r="J66" s="10"/>
      <c r="K66" s="11" t="s">
        <v>1188</v>
      </c>
      <c r="L66" s="11" t="s">
        <v>537</v>
      </c>
      <c r="M66" s="11" t="s">
        <v>1519</v>
      </c>
      <c r="N66" s="11" t="s">
        <v>1946</v>
      </c>
      <c r="O66" s="11"/>
      <c r="P66" s="11" t="s">
        <v>1947</v>
      </c>
      <c r="Q66" s="11" t="s">
        <v>1515</v>
      </c>
      <c r="R66" s="12" t="s">
        <v>1903</v>
      </c>
    </row>
  </sheetData>
  <mergeCells count="3">
    <mergeCell ref="A1:N1"/>
    <mergeCell ref="A2:N2"/>
    <mergeCell ref="A4:N4"/>
  </mergeCells>
  <dataValidations count="4">
    <dataValidation type="list" allowBlank="1" showInputMessage="1" showErrorMessage="1" sqref="F6:F66" xr:uid="{CB8EF4D0-0AAB-465B-9953-27ACE34BD473}">
      <formula1>"Existing response,Partial response,Enabling practice,Related evidence,Potential conflict or constraint,Unclear"</formula1>
    </dataValidation>
    <dataValidation type="list" allowBlank="1" showInputMessage="1" showErrorMessage="1" sqref="K6:K66" xr:uid="{399A8766-A510-4EBB-8960-C5D9FCB476C4}">
      <formula1>"Single supported problem,Possible compound problem,Insufficient evidence"</formula1>
    </dataValidation>
    <dataValidation type="list" allowBlank="1" showInputMessage="1" showErrorMessage="1" sqref="L6:L66" xr:uid="{7B110098-66D6-4BF5-8F53-6DA7F86A52C2}">
      <formula1>"High,Medium,Low"</formula1>
    </dataValidation>
    <dataValidation type="list" allowBlank="1" showInputMessage="1" showErrorMessage="1" sqref="R6:R66" xr:uid="{F4EB6084-1405-4930-BA0A-E4EFD6C3EB26}">
      <formula1>"Yes,No"</formula1>
    </dataValidation>
  </dataValidation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42F56-BC17-4162-BBAC-0C75A61E76D7}">
  <dimension ref="A1:P5"/>
  <sheetViews>
    <sheetView workbookViewId="0"/>
  </sheetViews>
  <sheetFormatPr defaultRowHeight="14.4"/>
  <cols>
    <col min="1" max="4" width="23.88671875" customWidth="1"/>
    <col min="5" max="6" width="38.109375" customWidth="1"/>
    <col min="7" max="7" width="23.88671875" customWidth="1"/>
    <col min="8" max="8" width="38.109375" customWidth="1"/>
    <col min="9" max="9" width="23.88671875" customWidth="1"/>
    <col min="10" max="11" width="38.109375" customWidth="1"/>
    <col min="12" max="12" width="23.88671875" customWidth="1"/>
    <col min="13" max="13" width="38.109375" customWidth="1"/>
    <col min="14" max="14" width="23.88671875" customWidth="1"/>
    <col min="15" max="15" width="38.109375" customWidth="1"/>
    <col min="16" max="16" width="23.88671875" customWidth="1"/>
  </cols>
  <sheetData>
    <row r="1" spans="1:16" ht="48" customHeight="1">
      <c r="A1" s="54" t="s">
        <v>2008</v>
      </c>
      <c r="B1" s="54"/>
      <c r="C1" s="54"/>
      <c r="D1" s="54"/>
      <c r="E1" s="54"/>
      <c r="F1" s="54"/>
      <c r="G1" s="54"/>
      <c r="H1" s="54"/>
      <c r="I1" s="54"/>
      <c r="J1" s="54"/>
      <c r="K1" s="54"/>
      <c r="L1" s="54"/>
      <c r="M1" s="54"/>
      <c r="N1" s="54"/>
      <c r="O1" s="54"/>
      <c r="P1" s="54"/>
    </row>
    <row r="2" spans="1:16" ht="30" customHeight="1">
      <c r="A2" s="55" t="s">
        <v>2009</v>
      </c>
      <c r="B2" s="55"/>
      <c r="C2" s="55"/>
      <c r="D2" s="55"/>
      <c r="E2" s="55"/>
      <c r="F2" s="55"/>
      <c r="G2" s="55"/>
      <c r="H2" s="55"/>
      <c r="I2" s="55"/>
      <c r="J2" s="55"/>
      <c r="K2" s="55"/>
      <c r="L2" s="55"/>
      <c r="M2" s="55"/>
      <c r="N2" s="55"/>
      <c r="O2" s="55"/>
      <c r="P2" s="55"/>
    </row>
    <row r="3" spans="1:16">
      <c r="A3" s="7"/>
      <c r="B3" s="7"/>
      <c r="C3" s="7"/>
      <c r="D3" s="7"/>
      <c r="E3" s="7"/>
      <c r="F3" s="7"/>
      <c r="G3" s="7"/>
      <c r="H3" s="7"/>
      <c r="I3" s="7"/>
      <c r="J3" s="7"/>
      <c r="K3" s="7"/>
      <c r="L3" s="7"/>
      <c r="M3" s="7"/>
      <c r="N3" s="7"/>
      <c r="O3" s="7"/>
      <c r="P3" s="7"/>
    </row>
    <row r="4" spans="1:16" ht="24" customHeight="1">
      <c r="A4" s="56" t="s">
        <v>2010</v>
      </c>
      <c r="B4" s="56"/>
      <c r="C4" s="56"/>
      <c r="D4" s="56"/>
      <c r="E4" s="56"/>
      <c r="F4" s="56"/>
      <c r="G4" s="56"/>
      <c r="H4" s="56"/>
      <c r="I4" s="56"/>
      <c r="J4" s="56"/>
      <c r="K4" s="56"/>
      <c r="L4" s="56"/>
      <c r="M4" s="56"/>
      <c r="N4" s="56"/>
      <c r="O4" s="56"/>
      <c r="P4" s="56"/>
    </row>
    <row r="5" spans="1:16" ht="30" customHeight="1">
      <c r="A5" s="8" t="s">
        <v>2011</v>
      </c>
      <c r="B5" s="8" t="s">
        <v>1855</v>
      </c>
      <c r="C5" s="8" t="s">
        <v>1856</v>
      </c>
      <c r="D5" s="8" t="s">
        <v>2012</v>
      </c>
      <c r="E5" s="8" t="s">
        <v>2013</v>
      </c>
      <c r="F5" s="8" t="s">
        <v>2014</v>
      </c>
      <c r="G5" s="8" t="s">
        <v>2015</v>
      </c>
      <c r="H5" s="8" t="s">
        <v>2016</v>
      </c>
      <c r="I5" s="8" t="s">
        <v>2017</v>
      </c>
      <c r="J5" s="8" t="s">
        <v>2018</v>
      </c>
      <c r="K5" s="8" t="s">
        <v>2019</v>
      </c>
      <c r="L5" s="8" t="s">
        <v>206</v>
      </c>
      <c r="M5" s="8" t="s">
        <v>207</v>
      </c>
      <c r="N5" s="8" t="s">
        <v>1940</v>
      </c>
      <c r="O5" s="8" t="s">
        <v>1941</v>
      </c>
      <c r="P5" s="8" t="s">
        <v>1942</v>
      </c>
    </row>
  </sheetData>
  <mergeCells count="3">
    <mergeCell ref="A1:P1"/>
    <mergeCell ref="A2:P2"/>
    <mergeCell ref="A4:P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A4D3D-7DC9-4C6B-BD48-A48B97A7FDD3}">
  <dimension ref="A1:Q11"/>
  <sheetViews>
    <sheetView workbookViewId="0">
      <pane ySplit="4" topLeftCell="A5" activePane="bottomLeft" state="frozen"/>
      <selection pane="bottomLeft" activeCell="I6" sqref="I6"/>
    </sheetView>
  </sheetViews>
  <sheetFormatPr defaultColWidth="9.109375" defaultRowHeight="14.4"/>
  <cols>
    <col min="1" max="1" width="14.33203125" customWidth="1"/>
    <col min="2" max="2" width="27.5546875" customWidth="1"/>
    <col min="3" max="3" width="11.5546875" hidden="1" customWidth="1"/>
    <col min="4" max="4" width="59.5546875" customWidth="1"/>
    <col min="5" max="5" width="24.109375" hidden="1" customWidth="1"/>
    <col min="6" max="7" width="26" hidden="1" customWidth="1"/>
    <col min="8" max="8" width="29.5546875" hidden="1" customWidth="1"/>
    <col min="9" max="9" width="51.5546875" customWidth="1"/>
    <col min="10" max="10" width="36.6640625" customWidth="1"/>
    <col min="11" max="11" width="30.44140625" customWidth="1"/>
    <col min="12" max="13" width="91.88671875" customWidth="1"/>
    <col min="14" max="14" width="58.88671875" customWidth="1"/>
    <col min="15" max="15" width="34.33203125" customWidth="1"/>
    <col min="16" max="16" width="36.109375" customWidth="1"/>
    <col min="17" max="17" width="58" customWidth="1"/>
  </cols>
  <sheetData>
    <row r="1" spans="1:17" ht="32.25" customHeight="1">
      <c r="A1" s="19" t="s">
        <v>73</v>
      </c>
      <c r="B1" s="19"/>
      <c r="C1" s="19"/>
      <c r="D1" s="19"/>
      <c r="E1" s="19"/>
      <c r="F1" s="19"/>
      <c r="G1" s="19"/>
      <c r="H1" s="19"/>
      <c r="I1" s="19"/>
      <c r="J1" s="19"/>
      <c r="K1" s="19"/>
      <c r="L1" s="19"/>
      <c r="M1" s="19"/>
      <c r="N1" s="19"/>
      <c r="O1" s="19"/>
      <c r="P1" s="19"/>
      <c r="Q1" s="19"/>
    </row>
    <row r="2" spans="1:17" ht="42" customHeight="1">
      <c r="A2" s="20"/>
      <c r="B2" s="20"/>
      <c r="C2" s="20"/>
      <c r="D2" s="20"/>
      <c r="E2" s="20"/>
      <c r="F2" s="20"/>
      <c r="G2" s="20"/>
      <c r="H2" s="20"/>
      <c r="I2" s="20"/>
      <c r="J2" s="20"/>
      <c r="K2" s="20"/>
      <c r="L2" s="20"/>
      <c r="M2" s="20"/>
      <c r="N2" s="20"/>
      <c r="O2" s="20"/>
      <c r="P2" s="20"/>
      <c r="Q2" s="20"/>
    </row>
    <row r="4" spans="1:17" ht="69.75" customHeight="1">
      <c r="A4" s="14" t="s">
        <v>74</v>
      </c>
      <c r="B4" s="14" t="s">
        <v>75</v>
      </c>
      <c r="C4" s="14" t="s">
        <v>76</v>
      </c>
      <c r="D4" s="14" t="s">
        <v>77</v>
      </c>
      <c r="E4" s="14" t="s">
        <v>78</v>
      </c>
      <c r="F4" s="14" t="s">
        <v>79</v>
      </c>
      <c r="G4" s="14" t="s">
        <v>80</v>
      </c>
      <c r="H4" s="14" t="s">
        <v>81</v>
      </c>
      <c r="I4" s="14" t="s">
        <v>82</v>
      </c>
      <c r="J4" s="14" t="s">
        <v>83</v>
      </c>
      <c r="K4" s="14" t="s">
        <v>84</v>
      </c>
      <c r="L4" s="14" t="s">
        <v>85</v>
      </c>
      <c r="M4" s="14" t="s">
        <v>86</v>
      </c>
      <c r="N4" s="14" t="s">
        <v>87</v>
      </c>
      <c r="O4" s="14" t="s">
        <v>88</v>
      </c>
      <c r="P4" s="14" t="s">
        <v>89</v>
      </c>
      <c r="Q4" s="14" t="s">
        <v>90</v>
      </c>
    </row>
    <row r="5" spans="1:17" ht="290.39999999999998">
      <c r="A5" s="31" t="s">
        <v>91</v>
      </c>
      <c r="B5" s="36" t="s">
        <v>92</v>
      </c>
      <c r="C5" s="16" t="s">
        <v>93</v>
      </c>
      <c r="D5" s="32" t="s">
        <v>94</v>
      </c>
      <c r="E5" s="33">
        <v>116</v>
      </c>
      <c r="F5" s="34">
        <v>18</v>
      </c>
      <c r="G5" s="33">
        <v>21</v>
      </c>
      <c r="H5" s="35">
        <v>336</v>
      </c>
      <c r="I5" s="15" t="s">
        <v>95</v>
      </c>
      <c r="J5" s="15" t="s">
        <v>96</v>
      </c>
      <c r="K5" s="15" t="s">
        <v>97</v>
      </c>
      <c r="L5" s="27" t="s">
        <v>98</v>
      </c>
      <c r="M5" s="37" t="s">
        <v>2020</v>
      </c>
      <c r="N5" s="15" t="s">
        <v>100</v>
      </c>
      <c r="O5" s="15" t="s">
        <v>101</v>
      </c>
      <c r="P5" s="15" t="s">
        <v>102</v>
      </c>
      <c r="Q5" s="15" t="s">
        <v>103</v>
      </c>
    </row>
    <row r="6" spans="1:17" ht="276.60000000000002">
      <c r="A6" s="31" t="s">
        <v>104</v>
      </c>
      <c r="B6" s="36" t="s">
        <v>105</v>
      </c>
      <c r="C6" s="16" t="s">
        <v>106</v>
      </c>
      <c r="D6" s="32" t="s">
        <v>107</v>
      </c>
      <c r="E6" s="33">
        <v>94</v>
      </c>
      <c r="F6" s="34">
        <v>16.8</v>
      </c>
      <c r="G6" s="33">
        <v>10</v>
      </c>
      <c r="H6" s="35">
        <v>110</v>
      </c>
      <c r="I6" s="15" t="s">
        <v>108</v>
      </c>
      <c r="J6" s="15" t="s">
        <v>109</v>
      </c>
      <c r="K6" s="15" t="s">
        <v>97</v>
      </c>
      <c r="L6" s="25" t="s">
        <v>110</v>
      </c>
      <c r="M6" s="37" t="s">
        <v>2021</v>
      </c>
      <c r="N6" s="15" t="s">
        <v>112</v>
      </c>
      <c r="O6" s="15" t="s">
        <v>113</v>
      </c>
      <c r="P6" s="15" t="s">
        <v>114</v>
      </c>
      <c r="Q6" s="15" t="s">
        <v>115</v>
      </c>
    </row>
    <row r="7" spans="1:17" ht="115.8">
      <c r="A7" s="31" t="s">
        <v>116</v>
      </c>
      <c r="B7" s="36" t="s">
        <v>117</v>
      </c>
      <c r="C7" s="16" t="s">
        <v>93</v>
      </c>
      <c r="D7" s="32" t="s">
        <v>118</v>
      </c>
      <c r="E7" s="33">
        <v>65</v>
      </c>
      <c r="F7" s="34">
        <v>16</v>
      </c>
      <c r="G7" s="33">
        <v>8</v>
      </c>
      <c r="H7" s="35">
        <v>46</v>
      </c>
      <c r="I7" s="15" t="s">
        <v>119</v>
      </c>
      <c r="J7" s="15" t="s">
        <v>120</v>
      </c>
      <c r="K7" s="15" t="s">
        <v>121</v>
      </c>
      <c r="L7" s="25" t="s">
        <v>122</v>
      </c>
      <c r="M7" s="38" t="s">
        <v>2022</v>
      </c>
      <c r="N7" s="15" t="s">
        <v>124</v>
      </c>
      <c r="O7" s="15" t="s">
        <v>125</v>
      </c>
      <c r="P7" s="15" t="s">
        <v>126</v>
      </c>
      <c r="Q7" s="15" t="s">
        <v>127</v>
      </c>
    </row>
    <row r="8" spans="1:17" ht="138.6">
      <c r="A8" s="31" t="s">
        <v>128</v>
      </c>
      <c r="B8" s="36" t="s">
        <v>129</v>
      </c>
      <c r="C8" s="16" t="s">
        <v>93</v>
      </c>
      <c r="D8" s="32" t="s">
        <v>130</v>
      </c>
      <c r="E8" s="33">
        <v>16</v>
      </c>
      <c r="F8" s="34">
        <v>15</v>
      </c>
      <c r="G8" s="33">
        <v>2</v>
      </c>
      <c r="H8" s="35">
        <v>16</v>
      </c>
      <c r="I8" s="15" t="s">
        <v>131</v>
      </c>
      <c r="J8" s="15" t="s">
        <v>132</v>
      </c>
      <c r="K8" s="15" t="s">
        <v>133</v>
      </c>
      <c r="L8" s="27" t="s">
        <v>134</v>
      </c>
      <c r="M8" s="37" t="s">
        <v>2023</v>
      </c>
      <c r="N8" s="15" t="s">
        <v>136</v>
      </c>
      <c r="O8" s="15" t="s">
        <v>137</v>
      </c>
      <c r="P8" s="15" t="s">
        <v>138</v>
      </c>
      <c r="Q8" s="15" t="s">
        <v>139</v>
      </c>
    </row>
    <row r="9" spans="1:17" ht="124.8">
      <c r="A9" s="31" t="s">
        <v>140</v>
      </c>
      <c r="B9" s="36" t="s">
        <v>141</v>
      </c>
      <c r="C9" s="16" t="s">
        <v>93</v>
      </c>
      <c r="D9" s="32" t="s">
        <v>142</v>
      </c>
      <c r="E9" s="33">
        <v>78</v>
      </c>
      <c r="F9" s="34">
        <v>14.6</v>
      </c>
      <c r="G9" s="33">
        <v>2</v>
      </c>
      <c r="H9" s="35">
        <v>5</v>
      </c>
      <c r="I9" s="15" t="s">
        <v>143</v>
      </c>
      <c r="J9" s="15" t="s">
        <v>144</v>
      </c>
      <c r="K9" s="15" t="s">
        <v>145</v>
      </c>
      <c r="L9" s="25" t="s">
        <v>2024</v>
      </c>
      <c r="M9" s="37" t="s">
        <v>2025</v>
      </c>
      <c r="N9" s="15" t="s">
        <v>148</v>
      </c>
      <c r="O9" s="15" t="s">
        <v>149</v>
      </c>
      <c r="P9" s="15" t="s">
        <v>150</v>
      </c>
      <c r="Q9" s="15" t="s">
        <v>151</v>
      </c>
    </row>
    <row r="10" spans="1:17" ht="82.8">
      <c r="A10" s="31" t="s">
        <v>152</v>
      </c>
      <c r="B10" s="36" t="s">
        <v>153</v>
      </c>
      <c r="C10" s="16" t="s">
        <v>154</v>
      </c>
      <c r="D10" s="32" t="s">
        <v>155</v>
      </c>
      <c r="E10" s="33">
        <v>31</v>
      </c>
      <c r="F10" s="34">
        <v>14.5</v>
      </c>
      <c r="G10" s="33">
        <v>4</v>
      </c>
      <c r="H10" s="35">
        <v>20</v>
      </c>
      <c r="I10" s="15" t="s">
        <v>156</v>
      </c>
      <c r="J10" s="15" t="s">
        <v>157</v>
      </c>
      <c r="K10" s="15" t="s">
        <v>121</v>
      </c>
      <c r="L10" s="26" t="s">
        <v>158</v>
      </c>
      <c r="M10" s="37" t="s">
        <v>2026</v>
      </c>
      <c r="N10" s="15" t="s">
        <v>160</v>
      </c>
      <c r="O10" s="15" t="s">
        <v>161</v>
      </c>
      <c r="P10" s="15" t="s">
        <v>162</v>
      </c>
      <c r="Q10" s="15" t="s">
        <v>163</v>
      </c>
    </row>
    <row r="11" spans="1:17" ht="152.4">
      <c r="A11" s="31" t="s">
        <v>164</v>
      </c>
      <c r="B11" s="36" t="s">
        <v>165</v>
      </c>
      <c r="C11" s="16" t="s">
        <v>93</v>
      </c>
      <c r="D11" s="32" t="s">
        <v>166</v>
      </c>
      <c r="E11" s="33">
        <v>54</v>
      </c>
      <c r="F11" s="34">
        <v>12.75</v>
      </c>
      <c r="G11" s="33">
        <v>11</v>
      </c>
      <c r="H11" s="35">
        <v>60</v>
      </c>
      <c r="I11" s="15" t="s">
        <v>167</v>
      </c>
      <c r="J11" s="15" t="s">
        <v>168</v>
      </c>
      <c r="K11" s="15" t="s">
        <v>169</v>
      </c>
      <c r="L11" s="25" t="s">
        <v>170</v>
      </c>
      <c r="M11" s="37" t="s">
        <v>2027</v>
      </c>
      <c r="N11" s="15" t="s">
        <v>172</v>
      </c>
      <c r="O11" s="15" t="s">
        <v>173</v>
      </c>
      <c r="P11" s="15" t="s">
        <v>174</v>
      </c>
      <c r="Q11" s="15" t="s">
        <v>175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7A72B03DB3F24EA2160B13B9BD4541" ma:contentTypeVersion="3" ma:contentTypeDescription="Create a new document." ma:contentTypeScope="" ma:versionID="da0d1cb7768ca2524976e7bc88596a26">
  <xsd:schema xmlns:xsd="http://www.w3.org/2001/XMLSchema" xmlns:xs="http://www.w3.org/2001/XMLSchema" xmlns:p="http://schemas.microsoft.com/office/2006/metadata/properties" xmlns:ns2="0110ddfb-43e6-4368-b38a-30a8d78dc9b7" targetNamespace="http://schemas.microsoft.com/office/2006/metadata/properties" ma:root="true" ma:fieldsID="ef88d09a0c071ff05d56d70b24687746" ns2:_="">
    <xsd:import namespace="0110ddfb-43e6-4368-b38a-30a8d78dc9b7"/>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10ddfb-43e6-4368-b38a-30a8d78dc9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81537F-E79C-417D-A05B-674B9E60F3D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8B7670C-24D6-441D-B9A1-1F1F50723C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10ddfb-43e6-4368-b38a-30a8d78dc9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F56FDC-743A-4D85-A26A-18F43AD454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16</vt:i4>
      </vt:variant>
    </vt:vector>
  </HeadingPairs>
  <TitlesOfParts>
    <vt:vector size="35" baseType="lpstr">
      <vt:lpstr>Read Me</vt:lpstr>
      <vt:lpstr>WS2_ProblemClusters</vt:lpstr>
      <vt:lpstr>Q3_Top problems</vt:lpstr>
      <vt:lpstr>Existing Practices</vt:lpstr>
      <vt:lpstr>Initiatives</vt:lpstr>
      <vt:lpstr>VIEW_WS1_Related work</vt:lpstr>
      <vt:lpstr>Transport-UPE Summary</vt:lpstr>
      <vt:lpstr>Candidate Problems</vt:lpstr>
      <vt:lpstr>Problem Mappings</vt:lpstr>
      <vt:lpstr>Practice Mappings</vt:lpstr>
      <vt:lpstr>Initiative Mappings</vt:lpstr>
      <vt:lpstr>Clusters</vt:lpstr>
      <vt:lpstr>Cluster Assignments</vt:lpstr>
      <vt:lpstr>Exceptions</vt:lpstr>
      <vt:lpstr>Review Log</vt:lpstr>
      <vt:lpstr>Controlled Values</vt:lpstr>
      <vt:lpstr>TMP_PracticeProblemProposals</vt:lpstr>
      <vt:lpstr>TMP_ProblemSpaceAnalysis</vt:lpstr>
      <vt:lpstr>WS2_Clusters_COPY</vt:lpstr>
      <vt:lpstr>CV_AIConfidence</vt:lpstr>
      <vt:lpstr>CV_CandidateAssessment</vt:lpstr>
      <vt:lpstr>CV_ClusterAssignmentType</vt:lpstr>
      <vt:lpstr>CV_ClusterStatus</vt:lpstr>
      <vt:lpstr>CV_EntityType</vt:lpstr>
      <vt:lpstr>CV_EvidenceRecordType</vt:lpstr>
      <vt:lpstr>CV_ExceptionSeverity</vt:lpstr>
      <vt:lpstr>CV_InitiativeMappingRelationship</vt:lpstr>
      <vt:lpstr>CV_InitiativeStatus</vt:lpstr>
      <vt:lpstr>CV_PracticeMappingRelationship</vt:lpstr>
      <vt:lpstr>CV_ProblemMappingRelationship</vt:lpstr>
      <vt:lpstr>CV_RecordOrigin</vt:lpstr>
      <vt:lpstr>CV_ResolutionStatus</vt:lpstr>
      <vt:lpstr>CV_ReviewDecision</vt:lpstr>
      <vt:lpstr>CV_ReviewStatus</vt:lpstr>
      <vt:lpstr>CV_YesNo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Andrei Aitzhanov</cp:lastModifiedBy>
  <cp:revision/>
  <dcterms:created xsi:type="dcterms:W3CDTF">2026-08-17T15:15:52Z</dcterms:created>
  <dcterms:modified xsi:type="dcterms:W3CDTF">2026-10-09T11:00:09Z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0x0101008D7A72B03DB3F24EA2160B13B9BD4541</vt:lpwstr>
  </property>
  <property fmtid="{D5CDD505-2E9C-101B-9397-08002B2CF9AE}" pid="3" name="MSIP_Label_20ea7001-5c24-4702-a3ac-e436ccb02747_Enabled">
    <vt:lpwstr>true</vt:lpwstr>
  </property>
  <property fmtid="{D5CDD505-2E9C-101B-9397-08002B2CF9AE}" pid="4" name="MSIP_Label_20ea7001-5c24-4702-a3ac-e436ccb02747_SetDate">
    <vt:lpwstr>2026-08-17T15:15:59Z</vt:lpwstr>
  </property>
  <property fmtid="{D5CDD505-2E9C-101B-9397-08002B2CF9AE}" pid="5" name="MSIP_Label_20ea7001-5c24-4702-a3ac-e436ccb02747_Method">
    <vt:lpwstr>Standard</vt:lpwstr>
  </property>
  <property fmtid="{D5CDD505-2E9C-101B-9397-08002B2CF9AE}" pid="6" name="MSIP_Label_20ea7001-5c24-4702-a3ac-e436ccb02747_Name">
    <vt:lpwstr>Confidential</vt:lpwstr>
  </property>
  <property fmtid="{D5CDD505-2E9C-101B-9397-08002B2CF9AE}" pid="7" name="MSIP_Label_20ea7001-5c24-4702-a3ac-e436ccb02747_SiteId">
    <vt:lpwstr>c8823c91-be81-4f89-b024-6c3dd789c106</vt:lpwstr>
  </property>
  <property fmtid="{D5CDD505-2E9C-101B-9397-08002B2CF9AE}" pid="8" name="MSIP_Label_20ea7001-5c24-4702-a3ac-e436ccb02747_ActionId">
    <vt:lpwstr>ebbfaec0-7203-46b6-89a1-5d378587ebc8</vt:lpwstr>
  </property>
  <property fmtid="{D5CDD505-2E9C-101B-9397-08002B2CF9AE}" pid="9" name="MSIP_Label_20ea7001-5c24-4702-a3ac-e436ccb02747_ContentBits">
    <vt:lpwstr>2</vt:lpwstr>
  </property>
  <property fmtid="{D5CDD505-2E9C-101B-9397-08002B2CF9AE}" pid="10" name="MSIP_Label_20ea7001-5c24-4702-a3ac-e436ccb02747_Tag">
    <vt:lpwstr>10, 3, 0, 2</vt:lpwstr>
  </property>
  <property fmtid="{D5CDD505-2E9C-101B-9397-08002B2CF9AE}" pid="11" name="xd_ProgID">
    <vt:lpwstr/>
  </property>
  <property fmtid="{D5CDD505-2E9C-101B-9397-08002B2CF9AE}" pid="12" name="_SourceUrl">
    <vt:lpwstr/>
  </property>
  <property fmtid="{D5CDD505-2E9C-101B-9397-08002B2CF9AE}" pid="13" name="_SharedFileIndex">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xd_Signature">
    <vt:bool>false</vt:bool>
  </property>
</Properties>
</file>